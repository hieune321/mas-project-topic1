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Tong_Quan_De_Tai" sheetId="1" state="visible" r:id="rId1"/>
    <sheet xmlns:r="http://schemas.openxmlformats.org/officeDocument/2006/relationships" name="02_Tu_Dien_Du_Lieu" sheetId="2" state="visible" r:id="rId2"/>
    <sheet xmlns:r="http://schemas.openxmlformats.org/officeDocument/2006/relationships" name="03_Du_Lieu_Goc_Raw" sheetId="3" state="visible" r:id="rId3"/>
    <sheet xmlns:r="http://schemas.openxmlformats.org/officeDocument/2006/relationships" name="04_Du_Lieu_Sach_Cleaned" sheetId="4" state="visible" r:id="rId4"/>
    <sheet xmlns:r="http://schemas.openxmlformats.org/officeDocument/2006/relationships" name="05_Thong_Ke_Mo_Ta" sheetId="5" state="visible" r:id="rId5"/>
    <sheet xmlns:r="http://schemas.openxmlformats.org/officeDocument/2006/relationships" name="06_Hoi_Quy_OLS" sheetId="6" state="visible" r:id="rId6"/>
    <sheet xmlns:r="http://schemas.openxmlformats.org/officeDocument/2006/relationships" name="07_Khoang_Tin_Cay_Va_Kiem_Dinh" sheetId="7" state="visible" r:id="rId7"/>
    <sheet xmlns:r="http://schemas.openxmlformats.org/officeDocument/2006/relationships" name="08_Du_Doan_Cau_1A" sheetId="8" state="visible" r:id="rId8"/>
    <sheet xmlns:r="http://schemas.openxmlformats.org/officeDocument/2006/relationships" name="09_Nhat_Ky_Lam_Sach" sheetId="9" state="visible" r:id="rId9"/>
  </sheets>
  <definedNames/>
  <calcPr calcId="124519" fullCalcOnLoad="1"/>
</workbook>
</file>

<file path=xl/styles.xml><?xml version="1.0" encoding="utf-8"?>
<styleSheet xmlns="http://schemas.openxmlformats.org/spreadsheetml/2006/main">
  <numFmts count="1">
    <numFmt numFmtId="164" formatCode="0.000"/>
  </numFmts>
  <fonts count="10">
    <font>
      <name val="Calibri"/>
      <family val="2"/>
      <color theme="1"/>
      <sz val="11"/>
      <scheme val="minor"/>
    </font>
    <font>
      <name val="Calibri"/>
      <b val="1"/>
      <color rgb="00595959"/>
      <sz val="11"/>
    </font>
    <font>
      <name val="Calibri"/>
      <b val="1"/>
      <color rgb="001F497D"/>
      <sz val="16"/>
    </font>
    <font>
      <name val="Calibri"/>
      <b val="1"/>
      <color rgb="001F497D"/>
      <sz val="12"/>
    </font>
    <font>
      <name val="Calibri"/>
      <b val="1"/>
      <sz val="10"/>
    </font>
    <font>
      <name val="Calibri"/>
      <b val="1"/>
      <color rgb="00FFFFFF"/>
      <sz val="11"/>
    </font>
    <font>
      <name val="Calibri"/>
      <sz val="10"/>
    </font>
    <font>
      <name val="Calibri"/>
      <color rgb="00C00000"/>
      <sz val="10"/>
    </font>
    <font>
      <name val="Calibri"/>
      <b val="1"/>
      <color rgb="00C00000"/>
      <sz val="10"/>
    </font>
    <font>
      <name val="Consolas"/>
      <i val="1"/>
      <color rgb="00002060"/>
      <sz val="9.5"/>
    </font>
  </fonts>
  <fills count="6">
    <fill>
      <patternFill/>
    </fill>
    <fill>
      <patternFill patternType="gray125"/>
    </fill>
    <fill>
      <patternFill patternType="solid">
        <fgColor rgb="001F497D"/>
        <bgColor rgb="001F497D"/>
      </patternFill>
    </fill>
    <fill>
      <patternFill patternType="solid">
        <fgColor rgb="00F2F5F9"/>
        <bgColor rgb="00F2F5F9"/>
      </patternFill>
    </fill>
    <fill>
      <patternFill patternType="solid">
        <fgColor rgb="00FCE4D6"/>
        <bgColor rgb="00FCE4D6"/>
      </patternFill>
    </fill>
    <fill>
      <patternFill patternType="solid">
        <fgColor rgb="00DCE6F1"/>
        <bgColor rgb="00DCE6F1"/>
      </patternFill>
    </fill>
  </fills>
  <borders count="4">
    <border>
      <left/>
      <right/>
      <top/>
      <bottom/>
      <diagonal/>
    </border>
    <border>
      <left style="thin">
        <color rgb="00BFBFBF"/>
      </left>
      <right style="thin">
        <color rgb="00BFBFBF"/>
      </right>
      <top style="medium">
        <color rgb="001F497D"/>
      </top>
      <bottom style="medium">
        <color rgb="001F497D"/>
      </bottom>
    </border>
    <border>
      <left style="thin">
        <color rgb="00D9D9D9"/>
      </left>
      <right style="thin">
        <color rgb="00D9D9D9"/>
      </right>
      <top style="thin">
        <color rgb="00D9D9D9"/>
      </top>
      <bottom style="thin">
        <color rgb="00D9D9D9"/>
      </bottom>
    </border>
    <border>
      <top style="thin"/>
      <bottom style="double"/>
    </border>
  </borders>
  <cellStyleXfs count="1">
    <xf numFmtId="0" fontId="0" fillId="0" borderId="0"/>
  </cellStyleXfs>
  <cellXfs count="3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3" borderId="2" applyAlignment="1" pivotButton="0" quotePrefix="0" xfId="0">
      <alignment horizontal="center" vertical="center" wrapText="1"/>
    </xf>
    <xf numFmtId="0" fontId="0" fillId="3" borderId="2" applyAlignment="1" pivotButton="0" quotePrefix="0" xfId="0">
      <alignment horizontal="left" vertical="center" wrapText="1"/>
    </xf>
    <xf numFmtId="0" fontId="6" fillId="0" borderId="2" applyAlignment="1" pivotButton="0" quotePrefix="0" xfId="0">
      <alignment horizontal="center" vertical="center" wrapText="1"/>
    </xf>
    <xf numFmtId="0" fontId="6" fillId="0" borderId="2" applyAlignment="1" pivotButton="0" quotePrefix="0" xfId="0">
      <alignment horizontal="left" vertical="center" wrapText="1"/>
    </xf>
    <xf numFmtId="0" fontId="6" fillId="3" borderId="2" applyAlignment="1" pivotButton="0" quotePrefix="0" xfId="0">
      <alignment horizontal="center" vertical="center" wrapText="1"/>
    </xf>
    <xf numFmtId="0" fontId="6" fillId="3" borderId="2" applyAlignment="1" pivotButton="0" quotePrefix="0" xfId="0">
      <alignment horizontal="left" vertical="center" wrapText="1"/>
    </xf>
    <xf numFmtId="0" fontId="6" fillId="3" borderId="2" applyAlignment="1" pivotButton="0" quotePrefix="0" xfId="0">
      <alignment horizontal="right" vertical="center"/>
    </xf>
    <xf numFmtId="0" fontId="6" fillId="0" borderId="2" applyAlignment="1" pivotButton="0" quotePrefix="0" xfId="0">
      <alignment horizontal="right" vertical="center"/>
    </xf>
    <xf numFmtId="0" fontId="7" fillId="4" borderId="2" applyAlignment="1" pivotButton="0" quotePrefix="0" xfId="0">
      <alignment horizontal="center" vertical="center" wrapText="1"/>
    </xf>
    <xf numFmtId="0" fontId="7" fillId="4" borderId="2" applyAlignment="1" pivotButton="0" quotePrefix="0" xfId="0">
      <alignment horizontal="left" vertical="center" wrapText="1"/>
    </xf>
    <xf numFmtId="0" fontId="7" fillId="4" borderId="2" applyAlignment="1" pivotButton="0" quotePrefix="0" xfId="0">
      <alignment horizontal="right" vertical="center"/>
    </xf>
    <xf numFmtId="0" fontId="8" fillId="4" borderId="2" applyAlignment="1" pivotButton="0" quotePrefix="0" xfId="0">
      <alignment horizontal="left" vertical="center" wrapText="1"/>
    </xf>
    <xf numFmtId="164" fontId="6" fillId="0" borderId="2" applyAlignment="1" pivotButton="0" quotePrefix="0" xfId="0">
      <alignment horizontal="right" vertical="center"/>
    </xf>
    <xf numFmtId="164" fontId="6" fillId="3" borderId="2" applyAlignment="1" pivotButton="0" quotePrefix="0" xfId="0">
      <alignment horizontal="right" vertical="center"/>
    </xf>
    <xf numFmtId="0" fontId="4" fillId="5" borderId="3" applyAlignment="1" pivotButton="0" quotePrefix="0" xfId="0">
      <alignment horizontal="center" vertical="center" wrapText="1"/>
    </xf>
    <xf numFmtId="0" fontId="4" fillId="5" borderId="3" pivotButton="0" quotePrefix="0" xfId="0"/>
    <xf numFmtId="164" fontId="4" fillId="5" borderId="3" applyAlignment="1" pivotButton="0" quotePrefix="0" xfId="0">
      <alignment horizontal="right" vertical="center"/>
    </xf>
    <xf numFmtId="0" fontId="4" fillId="5" borderId="2" applyAlignment="1" pivotButton="0" quotePrefix="0" xfId="0">
      <alignment horizontal="center" vertical="center" wrapText="1"/>
    </xf>
    <xf numFmtId="0" fontId="4" fillId="5" borderId="2" pivotButton="0" quotePrefix="0" xfId="0"/>
    <xf numFmtId="164" fontId="4" fillId="5" borderId="2" applyAlignment="1" pivotButton="0" quotePrefix="0" xfId="0">
      <alignment horizontal="right" vertical="center"/>
    </xf>
    <xf numFmtId="164" fontId="4" fillId="5" borderId="2" pivotButton="0" quotePrefix="0" xfId="0"/>
    <xf numFmtId="0" fontId="9" fillId="0" borderId="2" applyAlignment="1" pivotButton="0" quotePrefix="0" xfId="0">
      <alignment horizontal="left" vertical="center" wrapText="1"/>
    </xf>
    <xf numFmtId="0" fontId="9" fillId="3" borderId="2" applyAlignment="1" pivotButton="0" quotePrefix="0" xfId="0">
      <alignment horizontal="left" vertical="center" wrapText="1"/>
    </xf>
    <xf numFmtId="0" fontId="4" fillId="5" borderId="2" applyAlignment="1" pivotButton="0" quotePrefix="0" xfId="0">
      <alignment horizontal="left" vertical="center" wrapText="1"/>
    </xf>
    <xf numFmtId="164" fontId="6" fillId="0" borderId="2" applyAlignment="1" pivotButton="0" quotePrefix="0" xfId="0">
      <alignment horizontal="center" vertical="center" wrapText="1"/>
    </xf>
    <xf numFmtId="164" fontId="6" fillId="3" borderId="2" applyAlignment="1" pivotButton="0" quotePrefix="0" xfId="0">
      <alignment horizontal="center" vertical="center" wrapText="1"/>
    </xf>
    <xf numFmtId="164" fontId="2" fillId="5" borderId="1" applyAlignment="1" pivotButton="0" quotePrefix="0" xfId="0">
      <alignment horizontal="center" vertical="center"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showGridLines="1" workbookViewId="0">
      <selection activeCell="A1" sqref="A1"/>
    </sheetView>
  </sheetViews>
  <sheetFormatPr baseColWidth="8" defaultRowHeight="15"/>
  <cols>
    <col width="6" customWidth="1" min="1" max="1"/>
    <col width="25" customWidth="1" min="2" max="2"/>
    <col width="16" customWidth="1" min="3" max="3"/>
    <col width="15" customWidth="1" min="4" max="4"/>
    <col width="15" customWidth="1" min="5" max="5"/>
    <col width="65" customWidth="1" min="6" max="6"/>
  </cols>
  <sheetData>
    <row r="1">
      <c r="A1" s="1" t="inlineStr">
        <is>
          <t>TRƯỜNG ĐẠI HỌC FPT — HỌC PHẦN XÁC SUẤT &amp; THỐNG KÊ (MAS291)</t>
        </is>
      </c>
    </row>
    <row r="2">
      <c r="A2" s="2" t="inlineStr">
        <is>
          <t>COMPUTER PROJECT — ĐỀ TÀI 1: PHÂN TÍCH MỐI LIÊN HỆ ĐIỂM GIỮA KỲ VÀ CUỐI KỲ</t>
        </is>
      </c>
    </row>
    <row r="3">
      <c r="A3" s="3" t="inlineStr">
        <is>
          <t>BẢNG TÍNH THỐNG KÊ TỔNG HỢP VÀ DỮ LIỆU ĐÍNH KÈM CHÍNH THỨC</t>
        </is>
      </c>
    </row>
    <row r="5">
      <c r="A5" s="4" t="inlineStr">
        <is>
          <t>Thông tin chung:</t>
        </is>
      </c>
      <c r="B5" t="inlineStr">
        <is>
          <t>Lớp học phần: MAS291 | Nhóm thực hiện: Nhóm 1 | Giảng viên hướng dẫn: nhannxv</t>
        </is>
      </c>
    </row>
    <row r="6">
      <c r="A6" s="4" t="inlineStr">
        <is>
          <t>Câu hỏi nghiên cứu:</t>
        </is>
      </c>
      <c r="B6" t="inlineStr">
        <is>
          <t>Điểm thi giữa kỳ (X) có giúp dự đoán điểm bài thi cuối kỳ (Y) của sinh viên trong cùng một học phần hay không?</t>
        </is>
      </c>
    </row>
    <row r="8">
      <c r="A8" s="4" t="inlineStr">
        <is>
          <t>Đường dẫn trực tuyến:</t>
        </is>
      </c>
      <c r="B8" t="inlineStr">
        <is>
          <t>Ứng dụng tương tác Streamlit Cloud: https://masproject.streamlit.app</t>
        </is>
      </c>
    </row>
    <row r="9">
      <c r="B9" t="inlineStr">
        <is>
          <t>Kho lưu trữ mã nguồn GitHub: https://github.com/hieune321/mas-project-topic1</t>
        </is>
      </c>
    </row>
    <row r="11">
      <c r="A11" s="3" t="inlineStr">
        <is>
          <t>DANH SÁCH THÀNH VIÊN VÀ PHÂN CÔNG ĐÓNG GÓP (100% CÁC THÀNH VIÊN)</t>
        </is>
      </c>
    </row>
    <row r="12">
      <c r="A12" s="5" t="inlineStr">
        <is>
          <t>STT</t>
        </is>
      </c>
      <c r="B12" s="5" t="inlineStr">
        <is>
          <t>Họ và tên</t>
        </is>
      </c>
      <c r="C12" s="5" t="inlineStr">
        <is>
          <t>Mã số sinh viên</t>
        </is>
      </c>
      <c r="D12" s="5" t="inlineStr">
        <is>
          <t>Vai trò</t>
        </is>
      </c>
      <c r="E12" s="5" t="inlineStr">
        <is>
          <t>Đóng góp (%)</t>
        </is>
      </c>
      <c r="F12" s="5" t="inlineStr">
        <is>
          <t>Nhiệm vụ chính đảm nhiệm</t>
        </is>
      </c>
    </row>
    <row r="13">
      <c r="A13" s="6" t="n">
        <v>1</v>
      </c>
      <c r="B13" s="7" t="inlineStr">
        <is>
          <t>Mai Xuân Hiếu</t>
        </is>
      </c>
      <c r="C13" s="6" t="inlineStr">
        <is>
          <t>DE200199</t>
        </is>
      </c>
      <c r="D13" s="6" t="inlineStr">
        <is>
          <t>Thành viên</t>
        </is>
      </c>
      <c r="E13" s="6" t="inlineStr">
        <is>
          <t>100%</t>
        </is>
      </c>
      <c r="F13" s="7" t="inlineStr">
        <is>
          <t>Thu thập dữ liệu khảo sát ẩn danh, kiểm tra tính hợp lệ, thiết kế quy chuẩn làm sạch dữ liệu và định dạng báo cáo (Câu 1, 2)</t>
        </is>
      </c>
    </row>
    <row r="14">
      <c r="A14" s="8" t="n">
        <v>2</v>
      </c>
      <c r="B14" s="9" t="inlineStr">
        <is>
          <t>Phan Dương Sinh</t>
        </is>
      </c>
      <c r="C14" s="8" t="inlineStr">
        <is>
          <t>DE200235</t>
        </is>
      </c>
      <c r="D14" s="8" t="inlineStr">
        <is>
          <t>Thành viên</t>
        </is>
      </c>
      <c r="E14" s="8" t="inlineStr">
        <is>
          <t>100%</t>
        </is>
      </c>
      <c r="F14" s="9" t="inlineStr">
        <is>
          <t>Xử lý thống kê mô tả, tính toán độ tập trung, độ phân tán và vẽ biểu đồ phân phối Histogram &amp; Boxplot (Câu 3, 4)</t>
        </is>
      </c>
    </row>
    <row r="15">
      <c r="A15" s="6" t="n">
        <v>3</v>
      </c>
      <c r="B15" s="7" t="inlineStr">
        <is>
          <t>Võ Ngọc Minh Quân</t>
        </is>
      </c>
      <c r="C15" s="6" t="inlineStr">
        <is>
          <t>DE200080</t>
        </is>
      </c>
      <c r="D15" s="6" t="inlineStr">
        <is>
          <t>Nhóm trưởng</t>
        </is>
      </c>
      <c r="E15" s="6" t="inlineStr">
        <is>
          <t>100%</t>
        </is>
      </c>
      <c r="F15" s="7" t="inlineStr">
        <is>
          <t>Nhóm trưởng: Quản lý tiến độ dự án, tổ chức phân công, xây dựng kiến trúc mã nguồn Python &amp; Streamlit, ước lượng tương quan Pearson &amp; OLS (Câu 5, 6, 7)</t>
        </is>
      </c>
    </row>
    <row r="16">
      <c r="A16" s="8" t="n">
        <v>4</v>
      </c>
      <c r="B16" s="9" t="inlineStr">
        <is>
          <t>Vũ Hữu Thái</t>
        </is>
      </c>
      <c r="C16" s="8" t="inlineStr">
        <is>
          <t>DE200132</t>
        </is>
      </c>
      <c r="D16" s="8" t="inlineStr">
        <is>
          <t>Thành viên</t>
        </is>
      </c>
      <c r="E16" s="8" t="inlineStr">
        <is>
          <t>100%</t>
        </is>
      </c>
      <c r="F16" s="9" t="inlineStr">
        <is>
          <t>Ước lượng mô hình hồi quy OLS, đánh giá R², sai số chuẩn s, thực hiện chẩn đoán giả định mô hình phần dư (Câu 6, 7, 8)</t>
        </is>
      </c>
    </row>
    <row r="17">
      <c r="A17" s="6" t="n">
        <v>5</v>
      </c>
      <c r="B17" s="7" t="inlineStr">
        <is>
          <t>Nguyễn Hữu Hoàng Thắng</t>
        </is>
      </c>
      <c r="C17" s="6" t="inlineStr">
        <is>
          <t>DE200281</t>
        </is>
      </c>
      <c r="D17" s="6" t="inlineStr">
        <is>
          <t>Thành viên</t>
        </is>
      </c>
      <c r="E17" s="6" t="inlineStr">
        <is>
          <t>100%</t>
        </is>
      </c>
      <c r="F17" s="7" t="inlineStr">
        <is>
          <t>Xây dựng khoảng tin cậy 95% cho trung bình và hệ số góc, kiểm định giả thuyết t một mẫu và hai phía (Câu 9, 10, 11, 12)</t>
        </is>
      </c>
    </row>
    <row r="18">
      <c r="A18" s="8" t="n">
        <v>6</v>
      </c>
      <c r="B18" s="9" t="inlineStr">
        <is>
          <t>Trần Đức Duy</t>
        </is>
      </c>
      <c r="C18" s="8" t="inlineStr">
        <is>
          <t>DE180206</t>
        </is>
      </c>
      <c r="D18" s="8" t="inlineStr">
        <is>
          <t>Thành viên</t>
        </is>
      </c>
      <c r="E18" s="8" t="inlineStr">
        <is>
          <t>100%</t>
        </is>
      </c>
      <c r="F18" s="9" t="inlineStr">
        <is>
          <t>Thực hiện câu hỏi riêng 1A (dự đoán tại X=6, X=8) và 1B (phân tích giới hạn mô hình, biến số bị bỏ sót), tổng kết báo cáo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
  <sheetViews>
    <sheetView showGridLines="1" workbookViewId="0">
      <selection activeCell="A1" sqref="A1"/>
    </sheetView>
  </sheetViews>
  <sheetFormatPr baseColWidth="8" defaultRowHeight="15"/>
  <cols>
    <col width="18" customWidth="1" min="1" max="1"/>
    <col width="24" customWidth="1" min="2" max="2"/>
    <col width="20" customWidth="1" min="3" max="3"/>
    <col width="20" customWidth="1" min="4" max="4"/>
    <col width="22" customWidth="1" min="5" max="5"/>
    <col width="24" customWidth="1" min="6" max="6"/>
    <col width="50" customWidth="1" min="7" max="7"/>
  </cols>
  <sheetData>
    <row r="1">
      <c r="A1" s="2" t="inlineStr">
        <is>
          <t>BẢNG TỪ ĐIỂN DỮ LIỆU (DATA DICTIONARY) — MAS291 ĐỀ TÀI 1</t>
        </is>
      </c>
    </row>
    <row r="2">
      <c r="A2" s="3" t="inlineStr">
        <is>
          <t>Giải thích định nghĩa, kiểu dữ liệu, thang đo, đơn vị và nguồn dữ liệu khảo sát</t>
        </is>
      </c>
    </row>
    <row r="4">
      <c r="A4" s="5" t="inlineStr">
        <is>
          <t>Tên biến (Header)</t>
        </is>
      </c>
      <c r="B4" s="5" t="inlineStr">
        <is>
          <t>Tên hiển thị tiếng Việt</t>
        </is>
      </c>
      <c r="C4" s="5" t="inlineStr">
        <is>
          <t>Kiểu dữ liệu</t>
        </is>
      </c>
      <c r="D4" s="5" t="inlineStr">
        <is>
          <t>Thang đo</t>
        </is>
      </c>
      <c r="E4" s="5" t="inlineStr">
        <is>
          <t>Đơn vị / Miền giá trị</t>
        </is>
      </c>
      <c r="F4" s="5" t="inlineStr">
        <is>
          <t>Nguồn / Cách thu thập</t>
        </is>
      </c>
      <c r="G4" s="5" t="inlineStr">
        <is>
          <t>Mô tả học thuật chi tiết</t>
        </is>
      </c>
    </row>
    <row r="5">
      <c r="A5" s="10" t="inlineStr">
        <is>
          <t>student_id</t>
        </is>
      </c>
      <c r="B5" s="11" t="inlineStr">
        <is>
          <t>Mã ẩn danh sinh viên</t>
        </is>
      </c>
      <c r="C5" s="10" t="inlineStr">
        <is>
          <t>Chuỗi ký tự (String)</t>
        </is>
      </c>
      <c r="D5" s="10" t="inlineStr">
        <is>
          <t>Định danh (Nominal)</t>
        </is>
      </c>
      <c r="E5" s="10" t="inlineStr">
        <is>
          <t>Mã ẩn danh (S01, S02... / Nickname)</t>
        </is>
      </c>
      <c r="F5" s="11" t="inlineStr">
        <is>
          <t>Khảo sát sinh viên FPTU</t>
        </is>
      </c>
      <c r="G5" s="11" t="inlineStr">
        <is>
          <t>Mã hóa để bảo mật thông tin cá nhân (PII), mỗi dòng tương ứng một sinh viên độc lập.</t>
        </is>
      </c>
    </row>
    <row r="6">
      <c r="A6" s="12" t="inlineStr">
        <is>
          <t>midterm_score</t>
        </is>
      </c>
      <c r="B6" s="13" t="inlineStr">
        <is>
          <t>Điểm thi giữa kỳ (Biến X)</t>
        </is>
      </c>
      <c r="C6" s="12" t="inlineStr">
        <is>
          <t>Số thực (Float)</t>
        </is>
      </c>
      <c r="D6" s="12" t="inlineStr">
        <is>
          <t>Khoảng/Tỉ lệ (Ratio)</t>
        </is>
      </c>
      <c r="E6" s="12" t="inlineStr">
        <is>
          <t>Điểm (0.0 đến 10.0)</t>
        </is>
      </c>
      <c r="F6" s="13" t="inlineStr">
        <is>
          <t>Khảo sát tự khai báo của SV</t>
        </is>
      </c>
      <c r="G6" s="13" t="inlineStr">
        <is>
          <t>Biến độc lập (dự đoán). Kết quả thi giữa kỳ của cùng học phần Xác suất Thống kê trong kỳ.</t>
        </is>
      </c>
    </row>
    <row r="7">
      <c r="A7" s="10" t="inlineStr">
        <is>
          <t>final_score</t>
        </is>
      </c>
      <c r="B7" s="11" t="inlineStr">
        <is>
          <t>Điểm bài thi cuối kỳ (Biến Y)</t>
        </is>
      </c>
      <c r="C7" s="10" t="inlineStr">
        <is>
          <t>Số thực (Float)</t>
        </is>
      </c>
      <c r="D7" s="10" t="inlineStr">
        <is>
          <t>Khoảng/Tỉ lệ (Ratio)</t>
        </is>
      </c>
      <c r="E7" s="10" t="inlineStr">
        <is>
          <t>Điểm (0.0 đến 10.0)</t>
        </is>
      </c>
      <c r="F7" s="11" t="inlineStr">
        <is>
          <t>Khảo sát tự khai báo của SV</t>
        </is>
      </c>
      <c r="G7" s="11" t="inlineStr">
        <is>
          <t>Biến phụ thuộc (cần dự đoán). Điểm bài thi kết thúc học phần, KHÔNG bao gồm điểm quá trình.</t>
        </is>
      </c>
    </row>
    <row r="8">
      <c r="A8" s="12" t="inlineStr">
        <is>
          <t>exam_difficulty</t>
        </is>
      </c>
      <c r="B8" s="13" t="inlineStr">
        <is>
          <t>Độ khó đề thi cuối kỳ so với giữa kỳ</t>
        </is>
      </c>
      <c r="C8" s="12" t="inlineStr">
        <is>
          <t>Chuỗi phân loại (Categorical)</t>
        </is>
      </c>
      <c r="D8" s="12" t="inlineStr">
        <is>
          <t>Thứ bậc (Ordinal)</t>
        </is>
      </c>
      <c r="E8" s="12" t="inlineStr">
        <is>
          <t>Dễ hơn / Tương đương / Khó hơn</t>
        </is>
      </c>
      <c r="F8" s="13" t="inlineStr">
        <is>
          <t>Khảo sát sinh viên FPTU</t>
        </is>
      </c>
      <c r="G8" s="13" t="inlineStr">
        <is>
          <t>Biến ngữ cảnh định tính phục vụ phân tích giới hạn mô hình (Câu 1B) và kiểm soát thiên lệch.</t>
        </is>
      </c>
    </row>
    <row r="9">
      <c r="A9" s="10" t="inlineStr">
        <is>
          <t>study_effort</t>
        </is>
      </c>
      <c r="B9" s="11" t="inlineStr">
        <is>
          <t>Mức độ nỗ lực tự học sau giữa kỳ</t>
        </is>
      </c>
      <c r="C9" s="10" t="inlineStr">
        <is>
          <t>Số nguyên (Integer)</t>
        </is>
      </c>
      <c r="D9" s="10" t="inlineStr">
        <is>
          <t>Thứ bậc (Ordinal / Likert 1-5)</t>
        </is>
      </c>
      <c r="E9" s="10" t="inlineStr">
        <is>
          <t>Thang đo 1 (Rất thấp) đến 5 (Rất cao)</t>
        </is>
      </c>
      <c r="F9" s="11" t="inlineStr">
        <is>
          <t>Khảo sát sinh viên FPTU</t>
        </is>
      </c>
      <c r="G9" s="11" t="inlineStr">
        <is>
          <t>Biến kiểm soát hành vi học tập, giải thích hiệu ứng hồi quy về giá trị trung bình sau giữa kỳ.</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9"/>
  <sheetViews>
    <sheetView showGridLines="1" workbookViewId="0">
      <selection activeCell="A1" sqref="A1"/>
    </sheetView>
  </sheetViews>
  <sheetFormatPr baseColWidth="8" defaultRowHeight="15"/>
  <cols>
    <col width="16" customWidth="1" min="1" max="1"/>
    <col width="16" customWidth="1" min="2" max="2"/>
    <col width="22" customWidth="1" min="3" max="3"/>
    <col width="16" customWidth="1" min="4" max="4"/>
    <col width="16" customWidth="1" min="5" max="5"/>
    <col width="25" customWidth="1" min="6" max="6"/>
    <col width="16" customWidth="1" min="7" max="7"/>
    <col width="16" customWidth="1" min="8" max="8"/>
    <col width="45" customWidth="1" min="9" max="9"/>
  </cols>
  <sheetData>
    <row r="1">
      <c r="A1" s="2" t="inlineStr">
        <is>
          <t>TẬP DỮ LIỆU THU THẬP BAN ĐẦU (RAW DATA — ANONYMIZED, NO PII)</t>
        </is>
      </c>
    </row>
    <row r="2">
      <c r="A2" s="3" t="inlineStr">
        <is>
          <t>Tổng số phiếu thu thập: 35 phản hồi (Đã ẩn danh danh tính cá nhân theo chuẩn FPTU)</t>
        </is>
      </c>
    </row>
    <row r="4">
      <c r="A4" s="5" t="inlineStr">
        <is>
          <t>STT</t>
        </is>
      </c>
      <c r="B4" s="5" t="inlineStr">
        <is>
          <t>Mã ẩn danh</t>
        </is>
      </c>
      <c r="C4" s="5" t="inlineStr">
        <is>
          <t>Học phần / Lớp</t>
        </is>
      </c>
      <c r="D4" s="5" t="inlineStr">
        <is>
          <t>Điểm giữa kỳ (X)</t>
        </is>
      </c>
      <c r="E4" s="5" t="inlineStr">
        <is>
          <t>Điểm cuối kỳ (Y)</t>
        </is>
      </c>
      <c r="F4" s="5" t="inlineStr">
        <is>
          <t>Độ khó đề thi</t>
        </is>
      </c>
      <c r="G4" s="5" t="inlineStr">
        <is>
          <t>Nỗ lực tự học (1-5)</t>
        </is>
      </c>
      <c r="H4" s="5" t="inlineStr">
        <is>
          <t>Đồng ý chia sẻ</t>
        </is>
      </c>
      <c r="I4" s="5" t="inlineStr">
        <is>
          <t>Trạng thái thẩm định</t>
        </is>
      </c>
    </row>
    <row r="5">
      <c r="A5" s="12" t="n">
        <v>1</v>
      </c>
      <c r="B5" s="12" t="inlineStr">
        <is>
          <t>S01</t>
        </is>
      </c>
      <c r="C5" s="13" t="inlineStr">
        <is>
          <t>MAS291</t>
        </is>
      </c>
      <c r="D5" s="14" t="n">
        <v>0</v>
      </c>
      <c r="E5" s="14" t="n">
        <v>0</v>
      </c>
      <c r="F5" s="13" t="inlineStr"/>
      <c r="G5" s="12" t="inlineStr"/>
      <c r="H5" s="12" t="inlineStr">
        <is>
          <t>Đồng ý</t>
        </is>
      </c>
      <c r="I5" s="13" t="inlineStr">
        <is>
          <t>Hợp lệ (Đưa vào phân tích OLS)</t>
        </is>
      </c>
    </row>
    <row r="6">
      <c r="A6" s="10" t="n">
        <v>2</v>
      </c>
      <c r="B6" s="10" t="inlineStr">
        <is>
          <t>S02</t>
        </is>
      </c>
      <c r="C6" s="11" t="inlineStr">
        <is>
          <t>MAS291</t>
        </is>
      </c>
      <c r="D6" s="15" t="n">
        <v>0</v>
      </c>
      <c r="E6" s="15" t="n">
        <v>0</v>
      </c>
      <c r="F6" s="11" t="inlineStr"/>
      <c r="G6" s="10" t="inlineStr"/>
      <c r="H6" s="10" t="inlineStr">
        <is>
          <t>Đồng ý</t>
        </is>
      </c>
      <c r="I6" s="11" t="inlineStr">
        <is>
          <t>Hợp lệ (Đưa vào phân tích OLS)</t>
        </is>
      </c>
    </row>
    <row r="7">
      <c r="A7" s="12" t="n">
        <v>3</v>
      </c>
      <c r="B7" s="12" t="inlineStr">
        <is>
          <t>S03</t>
        </is>
      </c>
      <c r="C7" s="13" t="inlineStr">
        <is>
          <t>MAS291</t>
        </is>
      </c>
      <c r="D7" s="14" t="n">
        <v>0</v>
      </c>
      <c r="E7" s="14" t="n">
        <v>0</v>
      </c>
      <c r="F7" s="13" t="inlineStr"/>
      <c r="G7" s="12" t="inlineStr"/>
      <c r="H7" s="12" t="inlineStr">
        <is>
          <t>Đồng ý</t>
        </is>
      </c>
      <c r="I7" s="13" t="inlineStr">
        <is>
          <t>Hợp lệ (Đưa vào phân tích OLS)</t>
        </is>
      </c>
    </row>
    <row r="8">
      <c r="A8" s="10" t="n">
        <v>4</v>
      </c>
      <c r="B8" s="10" t="inlineStr">
        <is>
          <t>S04</t>
        </is>
      </c>
      <c r="C8" s="11" t="inlineStr">
        <is>
          <t>MAS291</t>
        </is>
      </c>
      <c r="D8" s="15" t="n">
        <v>0</v>
      </c>
      <c r="E8" s="15" t="n">
        <v>0</v>
      </c>
      <c r="F8" s="11" t="inlineStr"/>
      <c r="G8" s="10" t="inlineStr"/>
      <c r="H8" s="10" t="inlineStr">
        <is>
          <t>Đồng ý</t>
        </is>
      </c>
      <c r="I8" s="11" t="inlineStr">
        <is>
          <t>Hợp lệ (Đưa vào phân tích OLS)</t>
        </is>
      </c>
    </row>
    <row r="9">
      <c r="A9" s="12" t="n">
        <v>5</v>
      </c>
      <c r="B9" s="12" t="inlineStr">
        <is>
          <t>S05</t>
        </is>
      </c>
      <c r="C9" s="13" t="inlineStr">
        <is>
          <t>MAS291</t>
        </is>
      </c>
      <c r="D9" s="14" t="n">
        <v>0</v>
      </c>
      <c r="E9" s="14" t="n">
        <v>0</v>
      </c>
      <c r="F9" s="13" t="inlineStr"/>
      <c r="G9" s="12" t="inlineStr"/>
      <c r="H9" s="12" t="inlineStr">
        <is>
          <t>Đồng ý</t>
        </is>
      </c>
      <c r="I9" s="13" t="inlineStr">
        <is>
          <t>Hợp lệ (Đưa vào phân tích OLS)</t>
        </is>
      </c>
    </row>
    <row r="10">
      <c r="A10" s="10" t="n">
        <v>6</v>
      </c>
      <c r="B10" s="10" t="inlineStr">
        <is>
          <t>S06</t>
        </is>
      </c>
      <c r="C10" s="11" t="inlineStr">
        <is>
          <t>MAS291</t>
        </is>
      </c>
      <c r="D10" s="15" t="n">
        <v>0</v>
      </c>
      <c r="E10" s="15" t="n">
        <v>0</v>
      </c>
      <c r="F10" s="11" t="inlineStr"/>
      <c r="G10" s="10" t="inlineStr"/>
      <c r="H10" s="10" t="inlineStr">
        <is>
          <t>Đồng ý</t>
        </is>
      </c>
      <c r="I10" s="11" t="inlineStr">
        <is>
          <t>Hợp lệ (Đưa vào phân tích OLS)</t>
        </is>
      </c>
    </row>
    <row r="11">
      <c r="A11" s="12" t="n">
        <v>7</v>
      </c>
      <c r="B11" s="12" t="inlineStr">
        <is>
          <t>S07</t>
        </is>
      </c>
      <c r="C11" s="13" t="inlineStr">
        <is>
          <t>MAS291</t>
        </is>
      </c>
      <c r="D11" s="14" t="n">
        <v>0</v>
      </c>
      <c r="E11" s="14" t="n">
        <v>0</v>
      </c>
      <c r="F11" s="13" t="inlineStr"/>
      <c r="G11" s="12" t="inlineStr"/>
      <c r="H11" s="12" t="inlineStr">
        <is>
          <t>Đồng ý</t>
        </is>
      </c>
      <c r="I11" s="13" t="inlineStr">
        <is>
          <t>Hợp lệ (Đưa vào phân tích OLS)</t>
        </is>
      </c>
    </row>
    <row r="12">
      <c r="A12" s="10" t="n">
        <v>8</v>
      </c>
      <c r="B12" s="10" t="inlineStr">
        <is>
          <t>S08</t>
        </is>
      </c>
      <c r="C12" s="11" t="inlineStr">
        <is>
          <t>MAS291</t>
        </is>
      </c>
      <c r="D12" s="15" t="n">
        <v>0</v>
      </c>
      <c r="E12" s="15" t="n">
        <v>0</v>
      </c>
      <c r="F12" s="11" t="inlineStr"/>
      <c r="G12" s="10" t="inlineStr"/>
      <c r="H12" s="10" t="inlineStr">
        <is>
          <t>Đồng ý</t>
        </is>
      </c>
      <c r="I12" s="11" t="inlineStr">
        <is>
          <t>Hợp lệ (Đưa vào phân tích OLS)</t>
        </is>
      </c>
    </row>
    <row r="13">
      <c r="A13" s="12" t="n">
        <v>9</v>
      </c>
      <c r="B13" s="12" t="inlineStr">
        <is>
          <t>S09</t>
        </is>
      </c>
      <c r="C13" s="13" t="inlineStr">
        <is>
          <t>MAS291</t>
        </is>
      </c>
      <c r="D13" s="14" t="n">
        <v>0</v>
      </c>
      <c r="E13" s="14" t="n">
        <v>0</v>
      </c>
      <c r="F13" s="13" t="inlineStr"/>
      <c r="G13" s="12" t="inlineStr"/>
      <c r="H13" s="12" t="inlineStr">
        <is>
          <t>Đồng ý</t>
        </is>
      </c>
      <c r="I13" s="13" t="inlineStr">
        <is>
          <t>Hợp lệ (Đưa vào phân tích OLS)</t>
        </is>
      </c>
    </row>
    <row r="14">
      <c r="A14" s="10" t="n">
        <v>10</v>
      </c>
      <c r="B14" s="10" t="inlineStr">
        <is>
          <t>S10</t>
        </is>
      </c>
      <c r="C14" s="11" t="inlineStr">
        <is>
          <t>MAS291</t>
        </is>
      </c>
      <c r="D14" s="15" t="n">
        <v>0</v>
      </c>
      <c r="E14" s="15" t="n">
        <v>0</v>
      </c>
      <c r="F14" s="11" t="inlineStr"/>
      <c r="G14" s="10" t="inlineStr"/>
      <c r="H14" s="10" t="inlineStr">
        <is>
          <t>Đồng ý</t>
        </is>
      </c>
      <c r="I14" s="11" t="inlineStr">
        <is>
          <t>Hợp lệ (Đưa vào phân tích OLS)</t>
        </is>
      </c>
    </row>
    <row r="15">
      <c r="A15" s="12" t="n">
        <v>11</v>
      </c>
      <c r="B15" s="12" t="inlineStr">
        <is>
          <t>S11</t>
        </is>
      </c>
      <c r="C15" s="13" t="inlineStr">
        <is>
          <t>MAS291</t>
        </is>
      </c>
      <c r="D15" s="14" t="n">
        <v>0</v>
      </c>
      <c r="E15" s="14" t="n">
        <v>0</v>
      </c>
      <c r="F15" s="13" t="inlineStr"/>
      <c r="G15" s="12" t="inlineStr"/>
      <c r="H15" s="12" t="inlineStr">
        <is>
          <t>Đồng ý</t>
        </is>
      </c>
      <c r="I15" s="13" t="inlineStr">
        <is>
          <t>Hợp lệ (Đưa vào phân tích OLS)</t>
        </is>
      </c>
    </row>
    <row r="16">
      <c r="A16" s="10" t="n">
        <v>12</v>
      </c>
      <c r="B16" s="10" t="inlineStr">
        <is>
          <t>S12</t>
        </is>
      </c>
      <c r="C16" s="11" t="inlineStr">
        <is>
          <t>MAS291</t>
        </is>
      </c>
      <c r="D16" s="15" t="n">
        <v>0</v>
      </c>
      <c r="E16" s="15" t="n">
        <v>0</v>
      </c>
      <c r="F16" s="11" t="inlineStr"/>
      <c r="G16" s="10" t="inlineStr"/>
      <c r="H16" s="10" t="inlineStr">
        <is>
          <t>Đồng ý</t>
        </is>
      </c>
      <c r="I16" s="11" t="inlineStr">
        <is>
          <t>Hợp lệ (Đưa vào phân tích OLS)</t>
        </is>
      </c>
    </row>
    <row r="17">
      <c r="A17" s="12" t="n">
        <v>13</v>
      </c>
      <c r="B17" s="12" t="inlineStr">
        <is>
          <t>S13</t>
        </is>
      </c>
      <c r="C17" s="13" t="inlineStr">
        <is>
          <t>MAS291</t>
        </is>
      </c>
      <c r="D17" s="14" t="n">
        <v>0</v>
      </c>
      <c r="E17" s="14" t="n">
        <v>0</v>
      </c>
      <c r="F17" s="13" t="inlineStr"/>
      <c r="G17" s="12" t="inlineStr"/>
      <c r="H17" s="12" t="inlineStr">
        <is>
          <t>Đồng ý</t>
        </is>
      </c>
      <c r="I17" s="13" t="inlineStr">
        <is>
          <t>Hợp lệ (Đưa vào phân tích OLS)</t>
        </is>
      </c>
    </row>
    <row r="18">
      <c r="A18" s="10" t="n">
        <v>14</v>
      </c>
      <c r="B18" s="10" t="inlineStr">
        <is>
          <t>S14</t>
        </is>
      </c>
      <c r="C18" s="11" t="inlineStr">
        <is>
          <t>MAS291</t>
        </is>
      </c>
      <c r="D18" s="15" t="n">
        <v>0</v>
      </c>
      <c r="E18" s="15" t="n">
        <v>0</v>
      </c>
      <c r="F18" s="11" t="inlineStr"/>
      <c r="G18" s="10" t="inlineStr"/>
      <c r="H18" s="10" t="inlineStr">
        <is>
          <t>Đồng ý</t>
        </is>
      </c>
      <c r="I18" s="11" t="inlineStr">
        <is>
          <t>Hợp lệ (Đưa vào phân tích OLS)</t>
        </is>
      </c>
    </row>
    <row r="19">
      <c r="A19" s="12" t="n">
        <v>15</v>
      </c>
      <c r="B19" s="12" t="inlineStr">
        <is>
          <t>S15</t>
        </is>
      </c>
      <c r="C19" s="13" t="inlineStr">
        <is>
          <t>MAS291</t>
        </is>
      </c>
      <c r="D19" s="14" t="n">
        <v>0</v>
      </c>
      <c r="E19" s="14" t="n">
        <v>0</v>
      </c>
      <c r="F19" s="13" t="inlineStr"/>
      <c r="G19" s="12" t="inlineStr"/>
      <c r="H19" s="12" t="inlineStr">
        <is>
          <t>Đồng ý</t>
        </is>
      </c>
      <c r="I19" s="13" t="inlineStr">
        <is>
          <t>Hợp lệ (Đưa vào phân tích OLS)</t>
        </is>
      </c>
    </row>
    <row r="20">
      <c r="A20" s="10" t="n">
        <v>16</v>
      </c>
      <c r="B20" s="10" t="inlineStr">
        <is>
          <t>S16</t>
        </is>
      </c>
      <c r="C20" s="11" t="inlineStr">
        <is>
          <t>MAS291</t>
        </is>
      </c>
      <c r="D20" s="15" t="n">
        <v>0</v>
      </c>
      <c r="E20" s="15" t="n">
        <v>0</v>
      </c>
      <c r="F20" s="11" t="inlineStr"/>
      <c r="G20" s="10" t="inlineStr"/>
      <c r="H20" s="10" t="inlineStr">
        <is>
          <t>Đồng ý</t>
        </is>
      </c>
      <c r="I20" s="11" t="inlineStr">
        <is>
          <t>Hợp lệ (Đưa vào phân tích OLS)</t>
        </is>
      </c>
    </row>
    <row r="21">
      <c r="A21" s="12" t="n">
        <v>17</v>
      </c>
      <c r="B21" s="12" t="inlineStr">
        <is>
          <t>S17</t>
        </is>
      </c>
      <c r="C21" s="13" t="inlineStr">
        <is>
          <t>MAS291</t>
        </is>
      </c>
      <c r="D21" s="14" t="n">
        <v>0</v>
      </c>
      <c r="E21" s="14" t="n">
        <v>0</v>
      </c>
      <c r="F21" s="13" t="inlineStr"/>
      <c r="G21" s="12" t="inlineStr"/>
      <c r="H21" s="12" t="inlineStr">
        <is>
          <t>Đồng ý</t>
        </is>
      </c>
      <c r="I21" s="13" t="inlineStr">
        <is>
          <t>Hợp lệ (Đưa vào phân tích OLS)</t>
        </is>
      </c>
    </row>
    <row r="22">
      <c r="A22" s="10" t="n">
        <v>18</v>
      </c>
      <c r="B22" s="10" t="inlineStr">
        <is>
          <t>S18</t>
        </is>
      </c>
      <c r="C22" s="11" t="inlineStr">
        <is>
          <t>MAS291</t>
        </is>
      </c>
      <c r="D22" s="15" t="n">
        <v>0</v>
      </c>
      <c r="E22" s="15" t="n">
        <v>0</v>
      </c>
      <c r="F22" s="11" t="inlineStr"/>
      <c r="G22" s="10" t="inlineStr"/>
      <c r="H22" s="10" t="inlineStr">
        <is>
          <t>Đồng ý</t>
        </is>
      </c>
      <c r="I22" s="11" t="inlineStr">
        <is>
          <t>Hợp lệ (Đưa vào phân tích OLS)</t>
        </is>
      </c>
    </row>
    <row r="23">
      <c r="A23" s="12" t="n">
        <v>19</v>
      </c>
      <c r="B23" s="12" t="inlineStr">
        <is>
          <t>S19</t>
        </is>
      </c>
      <c r="C23" s="13" t="inlineStr">
        <is>
          <t>MAS291</t>
        </is>
      </c>
      <c r="D23" s="14" t="n">
        <v>0</v>
      </c>
      <c r="E23" s="14" t="n">
        <v>0</v>
      </c>
      <c r="F23" s="13" t="inlineStr"/>
      <c r="G23" s="12" t="inlineStr"/>
      <c r="H23" s="12" t="inlineStr">
        <is>
          <t>Đồng ý</t>
        </is>
      </c>
      <c r="I23" s="13" t="inlineStr">
        <is>
          <t>Hợp lệ (Đưa vào phân tích OLS)</t>
        </is>
      </c>
    </row>
    <row r="24">
      <c r="A24" s="10" t="n">
        <v>20</v>
      </c>
      <c r="B24" s="10" t="inlineStr">
        <is>
          <t>S20</t>
        </is>
      </c>
      <c r="C24" s="11" t="inlineStr">
        <is>
          <t>MAS291</t>
        </is>
      </c>
      <c r="D24" s="15" t="n">
        <v>0</v>
      </c>
      <c r="E24" s="15" t="n">
        <v>0</v>
      </c>
      <c r="F24" s="11" t="inlineStr"/>
      <c r="G24" s="10" t="inlineStr"/>
      <c r="H24" s="10" t="inlineStr">
        <is>
          <t>Đồng ý</t>
        </is>
      </c>
      <c r="I24" s="11" t="inlineStr">
        <is>
          <t>Hợp lệ (Đưa vào phân tích OLS)</t>
        </is>
      </c>
    </row>
    <row r="25">
      <c r="A25" s="12" t="n">
        <v>21</v>
      </c>
      <c r="B25" s="12" t="inlineStr">
        <is>
          <t>S21</t>
        </is>
      </c>
      <c r="C25" s="13" t="inlineStr">
        <is>
          <t>MAS291</t>
        </is>
      </c>
      <c r="D25" s="14" t="n">
        <v>0</v>
      </c>
      <c r="E25" s="14" t="n">
        <v>0</v>
      </c>
      <c r="F25" s="13" t="inlineStr"/>
      <c r="G25" s="12" t="inlineStr"/>
      <c r="H25" s="12" t="inlineStr">
        <is>
          <t>Đồng ý</t>
        </is>
      </c>
      <c r="I25" s="13" t="inlineStr">
        <is>
          <t>Hợp lệ (Đưa vào phân tích OLS)</t>
        </is>
      </c>
    </row>
    <row r="26">
      <c r="A26" s="10" t="n">
        <v>22</v>
      </c>
      <c r="B26" s="10" t="inlineStr">
        <is>
          <t>S22</t>
        </is>
      </c>
      <c r="C26" s="11" t="inlineStr">
        <is>
          <t>MAS291</t>
        </is>
      </c>
      <c r="D26" s="15" t="n">
        <v>0</v>
      </c>
      <c r="E26" s="15" t="n">
        <v>0</v>
      </c>
      <c r="F26" s="11" t="inlineStr"/>
      <c r="G26" s="10" t="inlineStr"/>
      <c r="H26" s="10" t="inlineStr">
        <is>
          <t>Đồng ý</t>
        </is>
      </c>
      <c r="I26" s="11" t="inlineStr">
        <is>
          <t>Hợp lệ (Đưa vào phân tích OLS)</t>
        </is>
      </c>
    </row>
    <row r="27">
      <c r="A27" s="12" t="n">
        <v>23</v>
      </c>
      <c r="B27" s="12" t="inlineStr">
        <is>
          <t>S23</t>
        </is>
      </c>
      <c r="C27" s="13" t="inlineStr">
        <is>
          <t>MAS291</t>
        </is>
      </c>
      <c r="D27" s="14" t="n">
        <v>0</v>
      </c>
      <c r="E27" s="14" t="n">
        <v>0</v>
      </c>
      <c r="F27" s="13" t="inlineStr"/>
      <c r="G27" s="12" t="inlineStr"/>
      <c r="H27" s="12" t="inlineStr">
        <is>
          <t>Đồng ý</t>
        </is>
      </c>
      <c r="I27" s="13" t="inlineStr">
        <is>
          <t>Hợp lệ (Đưa vào phân tích OLS)</t>
        </is>
      </c>
    </row>
    <row r="28">
      <c r="A28" s="10" t="n">
        <v>24</v>
      </c>
      <c r="B28" s="10" t="inlineStr">
        <is>
          <t>S24</t>
        </is>
      </c>
      <c r="C28" s="11" t="inlineStr">
        <is>
          <t>MAS291</t>
        </is>
      </c>
      <c r="D28" s="15" t="n">
        <v>0</v>
      </c>
      <c r="E28" s="15" t="n">
        <v>0</v>
      </c>
      <c r="F28" s="11" t="inlineStr"/>
      <c r="G28" s="10" t="inlineStr"/>
      <c r="H28" s="10" t="inlineStr">
        <is>
          <t>Đồng ý</t>
        </is>
      </c>
      <c r="I28" s="11" t="inlineStr">
        <is>
          <t>Hợp lệ (Đưa vào phân tích OLS)</t>
        </is>
      </c>
    </row>
    <row r="29">
      <c r="A29" s="12" t="n">
        <v>25</v>
      </c>
      <c r="B29" s="12" t="inlineStr">
        <is>
          <t>S25</t>
        </is>
      </c>
      <c r="C29" s="13" t="inlineStr">
        <is>
          <t>MAS291</t>
        </is>
      </c>
      <c r="D29" s="14" t="n">
        <v>0</v>
      </c>
      <c r="E29" s="14" t="n">
        <v>0</v>
      </c>
      <c r="F29" s="13" t="inlineStr"/>
      <c r="G29" s="12" t="inlineStr"/>
      <c r="H29" s="12" t="inlineStr">
        <is>
          <t>Đồng ý</t>
        </is>
      </c>
      <c r="I29" s="13" t="inlineStr">
        <is>
          <t>Hợp lệ (Đưa vào phân tích OLS)</t>
        </is>
      </c>
    </row>
    <row r="30">
      <c r="A30" s="10" t="n">
        <v>26</v>
      </c>
      <c r="B30" s="10" t="inlineStr">
        <is>
          <t>S26</t>
        </is>
      </c>
      <c r="C30" s="11" t="inlineStr">
        <is>
          <t>MAS291</t>
        </is>
      </c>
      <c r="D30" s="15" t="n">
        <v>0</v>
      </c>
      <c r="E30" s="15" t="n">
        <v>0</v>
      </c>
      <c r="F30" s="11" t="inlineStr"/>
      <c r="G30" s="10" t="inlineStr"/>
      <c r="H30" s="10" t="inlineStr">
        <is>
          <t>Đồng ý</t>
        </is>
      </c>
      <c r="I30" s="11" t="inlineStr">
        <is>
          <t>Hợp lệ (Đưa vào phân tích OLS)</t>
        </is>
      </c>
    </row>
    <row r="31">
      <c r="A31" s="12" t="n">
        <v>27</v>
      </c>
      <c r="B31" s="12" t="inlineStr">
        <is>
          <t>S27</t>
        </is>
      </c>
      <c r="C31" s="13" t="inlineStr">
        <is>
          <t>MAS291</t>
        </is>
      </c>
      <c r="D31" s="14" t="n">
        <v>0</v>
      </c>
      <c r="E31" s="14" t="n">
        <v>0</v>
      </c>
      <c r="F31" s="13" t="inlineStr"/>
      <c r="G31" s="12" t="inlineStr"/>
      <c r="H31" s="12" t="inlineStr">
        <is>
          <t>Đồng ý</t>
        </is>
      </c>
      <c r="I31" s="13" t="inlineStr">
        <is>
          <t>Hợp lệ (Đưa vào phân tích OLS)</t>
        </is>
      </c>
    </row>
    <row r="32">
      <c r="A32" s="10" t="n">
        <v>28</v>
      </c>
      <c r="B32" s="10" t="inlineStr">
        <is>
          <t>S28</t>
        </is>
      </c>
      <c r="C32" s="11" t="inlineStr">
        <is>
          <t>MAS291</t>
        </is>
      </c>
      <c r="D32" s="15" t="n">
        <v>0</v>
      </c>
      <c r="E32" s="15" t="n">
        <v>0</v>
      </c>
      <c r="F32" s="11" t="inlineStr"/>
      <c r="G32" s="10" t="inlineStr"/>
      <c r="H32" s="10" t="inlineStr">
        <is>
          <t>Đồng ý</t>
        </is>
      </c>
      <c r="I32" s="11" t="inlineStr">
        <is>
          <t>Hợp lệ (Đưa vào phân tích OLS)</t>
        </is>
      </c>
    </row>
    <row r="33">
      <c r="A33" s="12" t="n">
        <v>29</v>
      </c>
      <c r="B33" s="12" t="inlineStr">
        <is>
          <t>S29</t>
        </is>
      </c>
      <c r="C33" s="13" t="inlineStr">
        <is>
          <t>MAS291</t>
        </is>
      </c>
      <c r="D33" s="14" t="n">
        <v>0</v>
      </c>
      <c r="E33" s="14" t="n">
        <v>0</v>
      </c>
      <c r="F33" s="13" t="inlineStr"/>
      <c r="G33" s="12" t="inlineStr"/>
      <c r="H33" s="12" t="inlineStr">
        <is>
          <t>Đồng ý</t>
        </is>
      </c>
      <c r="I33" s="13" t="inlineStr">
        <is>
          <t>Hợp lệ (Đưa vào phân tích OLS)</t>
        </is>
      </c>
    </row>
    <row r="34">
      <c r="A34" s="10" t="n">
        <v>30</v>
      </c>
      <c r="B34" s="10" t="inlineStr">
        <is>
          <t>S30</t>
        </is>
      </c>
      <c r="C34" s="11" t="inlineStr">
        <is>
          <t>MAS291</t>
        </is>
      </c>
      <c r="D34" s="15" t="n">
        <v>0</v>
      </c>
      <c r="E34" s="15" t="n">
        <v>0</v>
      </c>
      <c r="F34" s="11" t="inlineStr"/>
      <c r="G34" s="10" t="inlineStr"/>
      <c r="H34" s="10" t="inlineStr">
        <is>
          <t>Đồng ý</t>
        </is>
      </c>
      <c r="I34" s="11" t="inlineStr">
        <is>
          <t>Hợp lệ (Đưa vào phân tích OLS)</t>
        </is>
      </c>
    </row>
    <row r="35">
      <c r="A35" s="12" t="n">
        <v>31</v>
      </c>
      <c r="B35" s="12" t="inlineStr">
        <is>
          <t>S31</t>
        </is>
      </c>
      <c r="C35" s="13" t="inlineStr">
        <is>
          <t>MAS291</t>
        </is>
      </c>
      <c r="D35" s="14" t="n">
        <v>0</v>
      </c>
      <c r="E35" s="14" t="n">
        <v>0</v>
      </c>
      <c r="F35" s="13" t="inlineStr"/>
      <c r="G35" s="12" t="inlineStr"/>
      <c r="H35" s="12" t="inlineStr">
        <is>
          <t>Đồng ý</t>
        </is>
      </c>
      <c r="I35" s="13" t="inlineStr">
        <is>
          <t>Hợp lệ (Đưa vào phân tích OLS)</t>
        </is>
      </c>
    </row>
    <row r="36">
      <c r="A36" s="10" t="n">
        <v>32</v>
      </c>
      <c r="B36" s="10" t="inlineStr">
        <is>
          <t>S32</t>
        </is>
      </c>
      <c r="C36" s="11" t="inlineStr">
        <is>
          <t>MAS291</t>
        </is>
      </c>
      <c r="D36" s="15" t="n">
        <v>0</v>
      </c>
      <c r="E36" s="15" t="n">
        <v>0</v>
      </c>
      <c r="F36" s="11" t="inlineStr"/>
      <c r="G36" s="10" t="inlineStr"/>
      <c r="H36" s="10" t="inlineStr">
        <is>
          <t>Đồng ý</t>
        </is>
      </c>
      <c r="I36" s="11" t="inlineStr">
        <is>
          <t>Hợp lệ (Đưa vào phân tích OLS)</t>
        </is>
      </c>
    </row>
    <row r="37">
      <c r="A37" s="12" t="n">
        <v>33</v>
      </c>
      <c r="B37" s="12" t="inlineStr">
        <is>
          <t>S33</t>
        </is>
      </c>
      <c r="C37" s="13" t="inlineStr">
        <is>
          <t>MAS291</t>
        </is>
      </c>
      <c r="D37" s="14" t="n">
        <v>0</v>
      </c>
      <c r="E37" s="14" t="n">
        <v>0</v>
      </c>
      <c r="F37" s="13" t="inlineStr"/>
      <c r="G37" s="12" t="inlineStr"/>
      <c r="H37" s="12" t="inlineStr">
        <is>
          <t>Đồng ý</t>
        </is>
      </c>
      <c r="I37" s="13" t="inlineStr">
        <is>
          <t>Hợp lệ (Đưa vào phân tích OLS)</t>
        </is>
      </c>
    </row>
    <row r="38">
      <c r="A38" s="10" t="n">
        <v>34</v>
      </c>
      <c r="B38" s="10" t="inlineStr">
        <is>
          <t>S34</t>
        </is>
      </c>
      <c r="C38" s="11" t="inlineStr">
        <is>
          <t>MAS291</t>
        </is>
      </c>
      <c r="D38" s="15" t="n">
        <v>0</v>
      </c>
      <c r="E38" s="15" t="n">
        <v>0</v>
      </c>
      <c r="F38" s="11" t="inlineStr"/>
      <c r="G38" s="10" t="inlineStr"/>
      <c r="H38" s="10" t="inlineStr">
        <is>
          <t>Đồng ý</t>
        </is>
      </c>
      <c r="I38" s="11" t="inlineStr">
        <is>
          <t>Hợp lệ (Đưa vào phân tích OLS)</t>
        </is>
      </c>
    </row>
    <row r="39">
      <c r="A39" s="16" t="n">
        <v>35</v>
      </c>
      <c r="B39" s="16" t="inlineStr">
        <is>
          <t>S35</t>
        </is>
      </c>
      <c r="C39" s="17" t="inlineStr">
        <is>
          <t>MAS291</t>
        </is>
      </c>
      <c r="D39" s="18" t="n">
        <v>0</v>
      </c>
      <c r="E39" s="18" t="n">
        <v>0</v>
      </c>
      <c r="F39" s="17" t="inlineStr"/>
      <c r="G39" s="16" t="inlineStr"/>
      <c r="H39" s="16" t="inlineStr">
        <is>
          <t>Đồng ý</t>
        </is>
      </c>
      <c r="I39" s="19" t="inlineStr">
        <is>
          <t>LOẠI: Trùng lặp sinh viên (de200125 đã nộp trước)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8"/>
  <sheetViews>
    <sheetView showGridLines="1" workbookViewId="0">
      <selection activeCell="A1" sqref="A1"/>
    </sheetView>
  </sheetViews>
  <sheetFormatPr baseColWidth="8" defaultRowHeight="15"/>
  <cols>
    <col width="6" customWidth="1" min="1" max="1"/>
    <col width="16"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2" t="inlineStr">
        <is>
          <t>TẬP DỮ LIỆU ĐÃ LÀM SẠCH VÀ BẢNG TÍNH TRUNG GIAN OLS (N = 32)</t>
        </is>
      </c>
    </row>
    <row r="2">
      <c r="A2" s="3" t="inlineStr">
        <is>
          <t>Mỗi hàng là một cặp điểm độc lập của cùng một sinh viên. Chứa công thức độ lệch và phần dư OLS</t>
        </is>
      </c>
    </row>
    <row r="3"/>
    <row r="4">
      <c r="A4" s="5" t="inlineStr">
        <is>
          <t>STT</t>
        </is>
      </c>
      <c r="B4" s="5" t="inlineStr">
        <is>
          <t>Mã ẩn danh (ID)</t>
        </is>
      </c>
      <c r="C4" s="5" t="inlineStr">
        <is>
          <t>Điểm giữa kỳ (X)</t>
        </is>
      </c>
      <c r="D4" s="5" t="inlineStr">
        <is>
          <t>Điểm cuối kỳ (Y)</t>
        </is>
      </c>
      <c r="E4" s="5" t="inlineStr">
        <is>
          <t>(X - X̄)</t>
        </is>
      </c>
      <c r="F4" s="5" t="inlineStr">
        <is>
          <t>(Y - Ȳ)</t>
        </is>
      </c>
      <c r="G4" s="5" t="inlineStr">
        <is>
          <t>(X - X̄)²</t>
        </is>
      </c>
      <c r="H4" s="5" t="inlineStr">
        <is>
          <t>(Y - Ȳ)²</t>
        </is>
      </c>
      <c r="I4" s="5" t="inlineStr">
        <is>
          <t>(X - X̄)(Y - Ȳ)</t>
        </is>
      </c>
      <c r="J4" s="5" t="inlineStr">
        <is>
          <t>Dự đoán Ŷ</t>
        </is>
      </c>
      <c r="K4" s="5" t="inlineStr">
        <is>
          <t>Phần dư e = Y - Ŷ</t>
        </is>
      </c>
      <c r="L4" s="5" t="inlineStr">
        <is>
          <t>e² (Bình phương phần dư)</t>
        </is>
      </c>
    </row>
    <row r="5">
      <c r="A5" s="10" t="n">
        <v>1</v>
      </c>
      <c r="B5" s="10" t="inlineStr">
        <is>
          <t>DE200125</t>
        </is>
      </c>
      <c r="C5" s="20" t="n">
        <v>8</v>
      </c>
      <c r="D5" s="20" t="n">
        <v>7.9</v>
      </c>
      <c r="E5" s="20">
        <f>C5-AVERAGE(C$5:C$36)</f>
        <v/>
      </c>
      <c r="F5" s="20">
        <f>D5-AVERAGE(D$5:D$36)</f>
        <v/>
      </c>
      <c r="G5" s="20">
        <f>E5^2</f>
        <v/>
      </c>
      <c r="H5" s="20">
        <f>F5^2</f>
        <v/>
      </c>
      <c r="I5" s="20">
        <f>E5*F5</f>
        <v/>
      </c>
      <c r="J5" s="20">
        <f>INTERCEPT(D$5:D$36,C$5:C$36)+SLOPE(D$5:D$36,C$5:C$36)*C5</f>
        <v/>
      </c>
      <c r="K5" s="20">
        <f>D5-J5</f>
        <v/>
      </c>
      <c r="L5" s="20">
        <f>K5^2</f>
        <v/>
      </c>
    </row>
    <row r="6">
      <c r="A6" s="12" t="n">
        <v>2</v>
      </c>
      <c r="B6" s="12" t="inlineStr">
        <is>
          <t>DE200377</t>
        </is>
      </c>
      <c r="C6" s="21" t="n">
        <v>8</v>
      </c>
      <c r="D6" s="21" t="n">
        <v>8</v>
      </c>
      <c r="E6" s="21">
        <f>C6-AVERAGE(C$5:C$36)</f>
        <v/>
      </c>
      <c r="F6" s="21">
        <f>D6-AVERAGE(D$5:D$36)</f>
        <v/>
      </c>
      <c r="G6" s="21">
        <f>E6^2</f>
        <v/>
      </c>
      <c r="H6" s="21">
        <f>F6^2</f>
        <v/>
      </c>
      <c r="I6" s="21">
        <f>E6*F6</f>
        <v/>
      </c>
      <c r="J6" s="21">
        <f>INTERCEPT(D$5:D$36,C$5:C$36)+SLOPE(D$5:D$36,C$5:C$36)*C6</f>
        <v/>
      </c>
      <c r="K6" s="21">
        <f>D6-J6</f>
        <v/>
      </c>
      <c r="L6" s="21">
        <f>K6^2</f>
        <v/>
      </c>
    </row>
    <row r="7">
      <c r="A7" s="10" t="n">
        <v>3</v>
      </c>
      <c r="B7" s="10" t="inlineStr">
        <is>
          <t>0136</t>
        </is>
      </c>
      <c r="C7" s="20" t="n">
        <v>8</v>
      </c>
      <c r="D7" s="20" t="n">
        <v>8</v>
      </c>
      <c r="E7" s="20">
        <f>C7-AVERAGE(C$5:C$36)</f>
        <v/>
      </c>
      <c r="F7" s="20">
        <f>D7-AVERAGE(D$5:D$36)</f>
        <v/>
      </c>
      <c r="G7" s="20">
        <f>E7^2</f>
        <v/>
      </c>
      <c r="H7" s="20">
        <f>F7^2</f>
        <v/>
      </c>
      <c r="I7" s="20">
        <f>E7*F7</f>
        <v/>
      </c>
      <c r="J7" s="20">
        <f>INTERCEPT(D$5:D$36,C$5:C$36)+SLOPE(D$5:D$36,C$5:C$36)*C7</f>
        <v/>
      </c>
      <c r="K7" s="20">
        <f>D7-J7</f>
        <v/>
      </c>
      <c r="L7" s="20">
        <f>K7^2</f>
        <v/>
      </c>
    </row>
    <row r="8">
      <c r="A8" s="12" t="n">
        <v>4</v>
      </c>
      <c r="B8" s="12" t="inlineStr">
        <is>
          <t>Su</t>
        </is>
      </c>
      <c r="C8" s="21" t="n">
        <v>9</v>
      </c>
      <c r="D8" s="21" t="n">
        <v>8</v>
      </c>
      <c r="E8" s="21">
        <f>C8-AVERAGE(C$5:C$36)</f>
        <v/>
      </c>
      <c r="F8" s="21">
        <f>D8-AVERAGE(D$5:D$36)</f>
        <v/>
      </c>
      <c r="G8" s="21">
        <f>E8^2</f>
        <v/>
      </c>
      <c r="H8" s="21">
        <f>F8^2</f>
        <v/>
      </c>
      <c r="I8" s="21">
        <f>E8*F8</f>
        <v/>
      </c>
      <c r="J8" s="21">
        <f>INTERCEPT(D$5:D$36,C$5:C$36)+SLOPE(D$5:D$36,C$5:C$36)*C8</f>
        <v/>
      </c>
      <c r="K8" s="21">
        <f>D8-J8</f>
        <v/>
      </c>
      <c r="L8" s="21">
        <f>K8^2</f>
        <v/>
      </c>
    </row>
    <row r="9">
      <c r="A9" s="10" t="n">
        <v>5</v>
      </c>
      <c r="B9" s="10" t="inlineStr">
        <is>
          <t>TTL</t>
        </is>
      </c>
      <c r="C9" s="20" t="n">
        <v>5</v>
      </c>
      <c r="D9" s="20" t="n">
        <v>6</v>
      </c>
      <c r="E9" s="20">
        <f>C9-AVERAGE(C$5:C$36)</f>
        <v/>
      </c>
      <c r="F9" s="20">
        <f>D9-AVERAGE(D$5:D$36)</f>
        <v/>
      </c>
      <c r="G9" s="20">
        <f>E9^2</f>
        <v/>
      </c>
      <c r="H9" s="20">
        <f>F9^2</f>
        <v/>
      </c>
      <c r="I9" s="20">
        <f>E9*F9</f>
        <v/>
      </c>
      <c r="J9" s="20">
        <f>INTERCEPT(D$5:D$36,C$5:C$36)+SLOPE(D$5:D$36,C$5:C$36)*C9</f>
        <v/>
      </c>
      <c r="K9" s="20">
        <f>D9-J9</f>
        <v/>
      </c>
      <c r="L9" s="20">
        <f>K9^2</f>
        <v/>
      </c>
    </row>
    <row r="10">
      <c r="A10" s="12" t="n">
        <v>6</v>
      </c>
      <c r="B10" s="12" t="inlineStr">
        <is>
          <t>0019</t>
        </is>
      </c>
      <c r="C10" s="21" t="n">
        <v>6.8</v>
      </c>
      <c r="D10" s="21" t="n">
        <v>7</v>
      </c>
      <c r="E10" s="21">
        <f>C10-AVERAGE(C$5:C$36)</f>
        <v/>
      </c>
      <c r="F10" s="21">
        <f>D10-AVERAGE(D$5:D$36)</f>
        <v/>
      </c>
      <c r="G10" s="21">
        <f>E10^2</f>
        <v/>
      </c>
      <c r="H10" s="21">
        <f>F10^2</f>
        <v/>
      </c>
      <c r="I10" s="21">
        <f>E10*F10</f>
        <v/>
      </c>
      <c r="J10" s="21">
        <f>INTERCEPT(D$5:D$36,C$5:C$36)+SLOPE(D$5:D$36,C$5:C$36)*C10</f>
        <v/>
      </c>
      <c r="K10" s="21">
        <f>D10-J10</f>
        <v/>
      </c>
      <c r="L10" s="21">
        <f>K10^2</f>
        <v/>
      </c>
    </row>
    <row r="11">
      <c r="A11" s="10" t="n">
        <v>7</v>
      </c>
      <c r="B11" s="10" t="inlineStr">
        <is>
          <t>0025-Rin</t>
        </is>
      </c>
      <c r="C11" s="20" t="n">
        <v>8</v>
      </c>
      <c r="D11" s="20" t="n">
        <v>6.5</v>
      </c>
      <c r="E11" s="20">
        <f>C11-AVERAGE(C$5:C$36)</f>
        <v/>
      </c>
      <c r="F11" s="20">
        <f>D11-AVERAGE(D$5:D$36)</f>
        <v/>
      </c>
      <c r="G11" s="20">
        <f>E11^2</f>
        <v/>
      </c>
      <c r="H11" s="20">
        <f>F11^2</f>
        <v/>
      </c>
      <c r="I11" s="20">
        <f>E11*F11</f>
        <v/>
      </c>
      <c r="J11" s="20">
        <f>INTERCEPT(D$5:D$36,C$5:C$36)+SLOPE(D$5:D$36,C$5:C$36)*C11</f>
        <v/>
      </c>
      <c r="K11" s="20">
        <f>D11-J11</f>
        <v/>
      </c>
      <c r="L11" s="20">
        <f>K11^2</f>
        <v/>
      </c>
    </row>
    <row r="12">
      <c r="A12" s="12" t="n">
        <v>8</v>
      </c>
      <c r="B12" s="12" t="inlineStr">
        <is>
          <t>DE180206</t>
        </is>
      </c>
      <c r="C12" s="21" t="n">
        <v>7</v>
      </c>
      <c r="D12" s="21" t="n">
        <v>7</v>
      </c>
      <c r="E12" s="21">
        <f>C12-AVERAGE(C$5:C$36)</f>
        <v/>
      </c>
      <c r="F12" s="21">
        <f>D12-AVERAGE(D$5:D$36)</f>
        <v/>
      </c>
      <c r="G12" s="21">
        <f>E12^2</f>
        <v/>
      </c>
      <c r="H12" s="21">
        <f>F12^2</f>
        <v/>
      </c>
      <c r="I12" s="21">
        <f>E12*F12</f>
        <v/>
      </c>
      <c r="J12" s="21">
        <f>INTERCEPT(D$5:D$36,C$5:C$36)+SLOPE(D$5:D$36,C$5:C$36)*C12</f>
        <v/>
      </c>
      <c r="K12" s="21">
        <f>D12-J12</f>
        <v/>
      </c>
      <c r="L12" s="21">
        <f>K12^2</f>
        <v/>
      </c>
    </row>
    <row r="13">
      <c r="A13" s="10" t="n">
        <v>9</v>
      </c>
      <c r="B13" s="10" t="inlineStr">
        <is>
          <t>0223</t>
        </is>
      </c>
      <c r="C13" s="20" t="n">
        <v>7.5</v>
      </c>
      <c r="D13" s="20" t="n">
        <v>8.5</v>
      </c>
      <c r="E13" s="20">
        <f>C13-AVERAGE(C$5:C$36)</f>
        <v/>
      </c>
      <c r="F13" s="20">
        <f>D13-AVERAGE(D$5:D$36)</f>
        <v/>
      </c>
      <c r="G13" s="20">
        <f>E13^2</f>
        <v/>
      </c>
      <c r="H13" s="20">
        <f>F13^2</f>
        <v/>
      </c>
      <c r="I13" s="20">
        <f>E13*F13</f>
        <v/>
      </c>
      <c r="J13" s="20">
        <f>INTERCEPT(D$5:D$36,C$5:C$36)+SLOPE(D$5:D$36,C$5:C$36)*C13</f>
        <v/>
      </c>
      <c r="K13" s="20">
        <f>D13-J13</f>
        <v/>
      </c>
      <c r="L13" s="20">
        <f>K13^2</f>
        <v/>
      </c>
    </row>
    <row r="14">
      <c r="A14" s="12" t="n">
        <v>10</v>
      </c>
      <c r="B14" s="12" t="inlineStr">
        <is>
          <t>0379</t>
        </is>
      </c>
      <c r="C14" s="21" t="n">
        <v>6.8</v>
      </c>
      <c r="D14" s="21" t="n">
        <v>6.5</v>
      </c>
      <c r="E14" s="21">
        <f>C14-AVERAGE(C$5:C$36)</f>
        <v/>
      </c>
      <c r="F14" s="21">
        <f>D14-AVERAGE(D$5:D$36)</f>
        <v/>
      </c>
      <c r="G14" s="21">
        <f>E14^2</f>
        <v/>
      </c>
      <c r="H14" s="21">
        <f>F14^2</f>
        <v/>
      </c>
      <c r="I14" s="21">
        <f>E14*F14</f>
        <v/>
      </c>
      <c r="J14" s="21">
        <f>INTERCEPT(D$5:D$36,C$5:C$36)+SLOPE(D$5:D$36,C$5:C$36)*C14</f>
        <v/>
      </c>
      <c r="K14" s="21">
        <f>D14-J14</f>
        <v/>
      </c>
      <c r="L14" s="21">
        <f>K14^2</f>
        <v/>
      </c>
    </row>
    <row r="15">
      <c r="A15" s="10" t="n">
        <v>11</v>
      </c>
      <c r="B15" s="10" t="inlineStr">
        <is>
          <t>Kkkkk</t>
        </is>
      </c>
      <c r="C15" s="20" t="n">
        <v>7</v>
      </c>
      <c r="D15" s="20" t="n">
        <v>6</v>
      </c>
      <c r="E15" s="20">
        <f>C15-AVERAGE(C$5:C$36)</f>
        <v/>
      </c>
      <c r="F15" s="20">
        <f>D15-AVERAGE(D$5:D$36)</f>
        <v/>
      </c>
      <c r="G15" s="20">
        <f>E15^2</f>
        <v/>
      </c>
      <c r="H15" s="20">
        <f>F15^2</f>
        <v/>
      </c>
      <c r="I15" s="20">
        <f>E15*F15</f>
        <v/>
      </c>
      <c r="J15" s="20">
        <f>INTERCEPT(D$5:D$36,C$5:C$36)+SLOPE(D$5:D$36,C$5:C$36)*C15</f>
        <v/>
      </c>
      <c r="K15" s="20">
        <f>D15-J15</f>
        <v/>
      </c>
      <c r="L15" s="20">
        <f>K15^2</f>
        <v/>
      </c>
    </row>
    <row r="16">
      <c r="A16" s="12" t="n">
        <v>12</v>
      </c>
      <c r="B16" s="12" t="inlineStr">
        <is>
          <t>Thonaucutephomaique</t>
        </is>
      </c>
      <c r="C16" s="21" t="n">
        <v>9.5</v>
      </c>
      <c r="D16" s="21" t="n">
        <v>9</v>
      </c>
      <c r="E16" s="21">
        <f>C16-AVERAGE(C$5:C$36)</f>
        <v/>
      </c>
      <c r="F16" s="21">
        <f>D16-AVERAGE(D$5:D$36)</f>
        <v/>
      </c>
      <c r="G16" s="21">
        <f>E16^2</f>
        <v/>
      </c>
      <c r="H16" s="21">
        <f>F16^2</f>
        <v/>
      </c>
      <c r="I16" s="21">
        <f>E16*F16</f>
        <v/>
      </c>
      <c r="J16" s="21">
        <f>INTERCEPT(D$5:D$36,C$5:C$36)+SLOPE(D$5:D$36,C$5:C$36)*C16</f>
        <v/>
      </c>
      <c r="K16" s="21">
        <f>D16-J16</f>
        <v/>
      </c>
      <c r="L16" s="21">
        <f>K16^2</f>
        <v/>
      </c>
    </row>
    <row r="17">
      <c r="A17" s="10" t="n">
        <v>13</v>
      </c>
      <c r="B17" s="10" t="inlineStr">
        <is>
          <t>Ds200011</t>
        </is>
      </c>
      <c r="C17" s="20" t="n">
        <v>8.199999999999999</v>
      </c>
      <c r="D17" s="20" t="n">
        <v>7.8</v>
      </c>
      <c r="E17" s="20">
        <f>C17-AVERAGE(C$5:C$36)</f>
        <v/>
      </c>
      <c r="F17" s="20">
        <f>D17-AVERAGE(D$5:D$36)</f>
        <v/>
      </c>
      <c r="G17" s="20">
        <f>E17^2</f>
        <v/>
      </c>
      <c r="H17" s="20">
        <f>F17^2</f>
        <v/>
      </c>
      <c r="I17" s="20">
        <f>E17*F17</f>
        <v/>
      </c>
      <c r="J17" s="20">
        <f>INTERCEPT(D$5:D$36,C$5:C$36)+SLOPE(D$5:D$36,C$5:C$36)*C17</f>
        <v/>
      </c>
      <c r="K17" s="20">
        <f>D17-J17</f>
        <v/>
      </c>
      <c r="L17" s="20">
        <f>K17^2</f>
        <v/>
      </c>
    </row>
    <row r="18">
      <c r="A18" s="12" t="n">
        <v>14</v>
      </c>
      <c r="B18" s="12" t="inlineStr">
        <is>
          <t>hehe</t>
        </is>
      </c>
      <c r="C18" s="21" t="n">
        <v>6</v>
      </c>
      <c r="D18" s="21" t="n">
        <v>8</v>
      </c>
      <c r="E18" s="21">
        <f>C18-AVERAGE(C$5:C$36)</f>
        <v/>
      </c>
      <c r="F18" s="21">
        <f>D18-AVERAGE(D$5:D$36)</f>
        <v/>
      </c>
      <c r="G18" s="21">
        <f>E18^2</f>
        <v/>
      </c>
      <c r="H18" s="21">
        <f>F18^2</f>
        <v/>
      </c>
      <c r="I18" s="21">
        <f>E18*F18</f>
        <v/>
      </c>
      <c r="J18" s="21">
        <f>INTERCEPT(D$5:D$36,C$5:C$36)+SLOPE(D$5:D$36,C$5:C$36)*C18</f>
        <v/>
      </c>
      <c r="K18" s="21">
        <f>D18-J18</f>
        <v/>
      </c>
      <c r="L18" s="21">
        <f>K18^2</f>
        <v/>
      </c>
    </row>
    <row r="19">
      <c r="A19" s="10" t="n">
        <v>15</v>
      </c>
      <c r="B19" s="10" t="inlineStr">
        <is>
          <t>cute</t>
        </is>
      </c>
      <c r="C19" s="20" t="n">
        <v>7</v>
      </c>
      <c r="D19" s="20" t="n">
        <v>6</v>
      </c>
      <c r="E19" s="20">
        <f>C19-AVERAGE(C$5:C$36)</f>
        <v/>
      </c>
      <c r="F19" s="20">
        <f>D19-AVERAGE(D$5:D$36)</f>
        <v/>
      </c>
      <c r="G19" s="20">
        <f>E19^2</f>
        <v/>
      </c>
      <c r="H19" s="20">
        <f>F19^2</f>
        <v/>
      </c>
      <c r="I19" s="20">
        <f>E19*F19</f>
        <v/>
      </c>
      <c r="J19" s="20">
        <f>INTERCEPT(D$5:D$36,C$5:C$36)+SLOPE(D$5:D$36,C$5:C$36)*C19</f>
        <v/>
      </c>
      <c r="K19" s="20">
        <f>D19-J19</f>
        <v/>
      </c>
      <c r="L19" s="20">
        <f>K19^2</f>
        <v/>
      </c>
    </row>
    <row r="20">
      <c r="A20" s="12" t="n">
        <v>16</v>
      </c>
      <c r="B20" s="12" t="inlineStr">
        <is>
          <t>DE200132</t>
        </is>
      </c>
      <c r="C20" s="21" t="n">
        <v>8</v>
      </c>
      <c r="D20" s="21" t="n">
        <v>8</v>
      </c>
      <c r="E20" s="21">
        <f>C20-AVERAGE(C$5:C$36)</f>
        <v/>
      </c>
      <c r="F20" s="21">
        <f>D20-AVERAGE(D$5:D$36)</f>
        <v/>
      </c>
      <c r="G20" s="21">
        <f>E20^2</f>
        <v/>
      </c>
      <c r="H20" s="21">
        <f>F20^2</f>
        <v/>
      </c>
      <c r="I20" s="21">
        <f>E20*F20</f>
        <v/>
      </c>
      <c r="J20" s="21">
        <f>INTERCEPT(D$5:D$36,C$5:C$36)+SLOPE(D$5:D$36,C$5:C$36)*C20</f>
        <v/>
      </c>
      <c r="K20" s="21">
        <f>D20-J20</f>
        <v/>
      </c>
      <c r="L20" s="21">
        <f>K20^2</f>
        <v/>
      </c>
    </row>
    <row r="21">
      <c r="A21" s="10" t="n">
        <v>17</v>
      </c>
      <c r="B21" s="10" t="inlineStr">
        <is>
          <t>ketao</t>
        </is>
      </c>
      <c r="C21" s="20" t="n">
        <v>6</v>
      </c>
      <c r="D21" s="20" t="n">
        <v>9</v>
      </c>
      <c r="E21" s="20">
        <f>C21-AVERAGE(C$5:C$36)</f>
        <v/>
      </c>
      <c r="F21" s="20">
        <f>D21-AVERAGE(D$5:D$36)</f>
        <v/>
      </c>
      <c r="G21" s="20">
        <f>E21^2</f>
        <v/>
      </c>
      <c r="H21" s="20">
        <f>F21^2</f>
        <v/>
      </c>
      <c r="I21" s="20">
        <f>E21*F21</f>
        <v/>
      </c>
      <c r="J21" s="20">
        <f>INTERCEPT(D$5:D$36,C$5:C$36)+SLOPE(D$5:D$36,C$5:C$36)*C21</f>
        <v/>
      </c>
      <c r="K21" s="20">
        <f>D21-J21</f>
        <v/>
      </c>
      <c r="L21" s="20">
        <f>K21^2</f>
        <v/>
      </c>
    </row>
    <row r="22">
      <c r="A22" s="12" t="n">
        <v>18</v>
      </c>
      <c r="B22" s="12" t="inlineStr">
        <is>
          <t>0131</t>
        </is>
      </c>
      <c r="C22" s="21" t="n">
        <v>9.300000000000001</v>
      </c>
      <c r="D22" s="21" t="n">
        <v>8.5</v>
      </c>
      <c r="E22" s="21">
        <f>C22-AVERAGE(C$5:C$36)</f>
        <v/>
      </c>
      <c r="F22" s="21">
        <f>D22-AVERAGE(D$5:D$36)</f>
        <v/>
      </c>
      <c r="G22" s="21">
        <f>E22^2</f>
        <v/>
      </c>
      <c r="H22" s="21">
        <f>F22^2</f>
        <v/>
      </c>
      <c r="I22" s="21">
        <f>E22*F22</f>
        <v/>
      </c>
      <c r="J22" s="21">
        <f>INTERCEPT(D$5:D$36,C$5:C$36)+SLOPE(D$5:D$36,C$5:C$36)*C22</f>
        <v/>
      </c>
      <c r="K22" s="21">
        <f>D22-J22</f>
        <v/>
      </c>
      <c r="L22" s="21">
        <f>K22^2</f>
        <v/>
      </c>
    </row>
    <row r="23">
      <c r="A23" s="10" t="n">
        <v>19</v>
      </c>
      <c r="B23" s="10" t="inlineStr">
        <is>
          <t>Mai</t>
        </is>
      </c>
      <c r="C23" s="20" t="n">
        <v>8.5</v>
      </c>
      <c r="D23" s="20" t="n">
        <v>9.5</v>
      </c>
      <c r="E23" s="20">
        <f>C23-AVERAGE(C$5:C$36)</f>
        <v/>
      </c>
      <c r="F23" s="20">
        <f>D23-AVERAGE(D$5:D$36)</f>
        <v/>
      </c>
      <c r="G23" s="20">
        <f>E23^2</f>
        <v/>
      </c>
      <c r="H23" s="20">
        <f>F23^2</f>
        <v/>
      </c>
      <c r="I23" s="20">
        <f>E23*F23</f>
        <v/>
      </c>
      <c r="J23" s="20">
        <f>INTERCEPT(D$5:D$36,C$5:C$36)+SLOPE(D$5:D$36,C$5:C$36)*C23</f>
        <v/>
      </c>
      <c r="K23" s="20">
        <f>D23-J23</f>
        <v/>
      </c>
      <c r="L23" s="20">
        <f>K23^2</f>
        <v/>
      </c>
    </row>
    <row r="24">
      <c r="A24" s="12" t="n">
        <v>20</v>
      </c>
      <c r="B24" s="12" t="inlineStr">
        <is>
          <t>DE200134/ meo meo</t>
        </is>
      </c>
      <c r="C24" s="21" t="n">
        <v>7.5</v>
      </c>
      <c r="D24" s="21" t="n">
        <v>8</v>
      </c>
      <c r="E24" s="21">
        <f>C24-AVERAGE(C$5:C$36)</f>
        <v/>
      </c>
      <c r="F24" s="21">
        <f>D24-AVERAGE(D$5:D$36)</f>
        <v/>
      </c>
      <c r="G24" s="21">
        <f>E24^2</f>
        <v/>
      </c>
      <c r="H24" s="21">
        <f>F24^2</f>
        <v/>
      </c>
      <c r="I24" s="21">
        <f>E24*F24</f>
        <v/>
      </c>
      <c r="J24" s="21">
        <f>INTERCEPT(D$5:D$36,C$5:C$36)+SLOPE(D$5:D$36,C$5:C$36)*C24</f>
        <v/>
      </c>
      <c r="K24" s="21">
        <f>D24-J24</f>
        <v/>
      </c>
      <c r="L24" s="21">
        <f>K24^2</f>
        <v/>
      </c>
    </row>
    <row r="25">
      <c r="A25" s="10" t="n">
        <v>21</v>
      </c>
      <c r="B25" s="10" t="inlineStr">
        <is>
          <t>D200143</t>
        </is>
      </c>
      <c r="C25" s="20" t="n">
        <v>6</v>
      </c>
      <c r="D25" s="20" t="n">
        <v>7</v>
      </c>
      <c r="E25" s="20">
        <f>C25-AVERAGE(C$5:C$36)</f>
        <v/>
      </c>
      <c r="F25" s="20">
        <f>D25-AVERAGE(D$5:D$36)</f>
        <v/>
      </c>
      <c r="G25" s="20">
        <f>E25^2</f>
        <v/>
      </c>
      <c r="H25" s="20">
        <f>F25^2</f>
        <v/>
      </c>
      <c r="I25" s="20">
        <f>E25*F25</f>
        <v/>
      </c>
      <c r="J25" s="20">
        <f>INTERCEPT(D$5:D$36,C$5:C$36)+SLOPE(D$5:D$36,C$5:C$36)*C25</f>
        <v/>
      </c>
      <c r="K25" s="20">
        <f>D25-J25</f>
        <v/>
      </c>
      <c r="L25" s="20">
        <f>K25^2</f>
        <v/>
      </c>
    </row>
    <row r="26">
      <c r="A26" s="12" t="n">
        <v>22</v>
      </c>
      <c r="B26" s="12" t="inlineStr">
        <is>
          <t>1020</t>
        </is>
      </c>
      <c r="C26" s="21" t="n">
        <v>8.5</v>
      </c>
      <c r="D26" s="21" t="n">
        <v>8.199999999999999</v>
      </c>
      <c r="E26" s="21">
        <f>C26-AVERAGE(C$5:C$36)</f>
        <v/>
      </c>
      <c r="F26" s="21">
        <f>D26-AVERAGE(D$5:D$36)</f>
        <v/>
      </c>
      <c r="G26" s="21">
        <f>E26^2</f>
        <v/>
      </c>
      <c r="H26" s="21">
        <f>F26^2</f>
        <v/>
      </c>
      <c r="I26" s="21">
        <f>E26*F26</f>
        <v/>
      </c>
      <c r="J26" s="21">
        <f>INTERCEPT(D$5:D$36,C$5:C$36)+SLOPE(D$5:D$36,C$5:C$36)*C26</f>
        <v/>
      </c>
      <c r="K26" s="21">
        <f>D26-J26</f>
        <v/>
      </c>
      <c r="L26" s="21">
        <f>K26^2</f>
        <v/>
      </c>
    </row>
    <row r="27">
      <c r="A27" s="10" t="n">
        <v>23</v>
      </c>
      <c r="B27" s="10" t="inlineStr">
        <is>
          <t>0270</t>
        </is>
      </c>
      <c r="C27" s="20" t="n">
        <v>7.5</v>
      </c>
      <c r="D27" s="20" t="n">
        <v>7</v>
      </c>
      <c r="E27" s="20">
        <f>C27-AVERAGE(C$5:C$36)</f>
        <v/>
      </c>
      <c r="F27" s="20">
        <f>D27-AVERAGE(D$5:D$36)</f>
        <v/>
      </c>
      <c r="G27" s="20">
        <f>E27^2</f>
        <v/>
      </c>
      <c r="H27" s="20">
        <f>F27^2</f>
        <v/>
      </c>
      <c r="I27" s="20">
        <f>E27*F27</f>
        <v/>
      </c>
      <c r="J27" s="20">
        <f>INTERCEPT(D$5:D$36,C$5:C$36)+SLOPE(D$5:D$36,C$5:C$36)*C27</f>
        <v/>
      </c>
      <c r="K27" s="20">
        <f>D27-J27</f>
        <v/>
      </c>
      <c r="L27" s="20">
        <f>K27^2</f>
        <v/>
      </c>
    </row>
    <row r="28">
      <c r="A28" s="12" t="n">
        <v>24</v>
      </c>
      <c r="B28" s="12" t="inlineStr">
        <is>
          <t>6754</t>
        </is>
      </c>
      <c r="C28" s="21" t="n">
        <v>8</v>
      </c>
      <c r="D28" s="21" t="n">
        <v>7.5</v>
      </c>
      <c r="E28" s="21">
        <f>C28-AVERAGE(C$5:C$36)</f>
        <v/>
      </c>
      <c r="F28" s="21">
        <f>D28-AVERAGE(D$5:D$36)</f>
        <v/>
      </c>
      <c r="G28" s="21">
        <f>E28^2</f>
        <v/>
      </c>
      <c r="H28" s="21">
        <f>F28^2</f>
        <v/>
      </c>
      <c r="I28" s="21">
        <f>E28*F28</f>
        <v/>
      </c>
      <c r="J28" s="21">
        <f>INTERCEPT(D$5:D$36,C$5:C$36)+SLOPE(D$5:D$36,C$5:C$36)*C28</f>
        <v/>
      </c>
      <c r="K28" s="21">
        <f>D28-J28</f>
        <v/>
      </c>
      <c r="L28" s="21">
        <f>K28^2</f>
        <v/>
      </c>
    </row>
    <row r="29">
      <c r="A29" s="10" t="n">
        <v>25</v>
      </c>
      <c r="B29" s="10" t="inlineStr">
        <is>
          <t>0105</t>
        </is>
      </c>
      <c r="C29" s="20" t="n">
        <v>7</v>
      </c>
      <c r="D29" s="20" t="n">
        <v>8</v>
      </c>
      <c r="E29" s="20">
        <f>C29-AVERAGE(C$5:C$36)</f>
        <v/>
      </c>
      <c r="F29" s="20">
        <f>D29-AVERAGE(D$5:D$36)</f>
        <v/>
      </c>
      <c r="G29" s="20">
        <f>E29^2</f>
        <v/>
      </c>
      <c r="H29" s="20">
        <f>F29^2</f>
        <v/>
      </c>
      <c r="I29" s="20">
        <f>E29*F29</f>
        <v/>
      </c>
      <c r="J29" s="20">
        <f>INTERCEPT(D$5:D$36,C$5:C$36)+SLOPE(D$5:D$36,C$5:C$36)*C29</f>
        <v/>
      </c>
      <c r="K29" s="20">
        <f>D29-J29</f>
        <v/>
      </c>
      <c r="L29" s="20">
        <f>K29^2</f>
        <v/>
      </c>
    </row>
    <row r="30">
      <c r="A30" s="12" t="n">
        <v>26</v>
      </c>
      <c r="B30" s="12" t="inlineStr">
        <is>
          <t>110240044</t>
        </is>
      </c>
      <c r="C30" s="21" t="n">
        <v>5</v>
      </c>
      <c r="D30" s="21" t="n">
        <v>5</v>
      </c>
      <c r="E30" s="21">
        <f>C30-AVERAGE(C$5:C$36)</f>
        <v/>
      </c>
      <c r="F30" s="21">
        <f>D30-AVERAGE(D$5:D$36)</f>
        <v/>
      </c>
      <c r="G30" s="21">
        <f>E30^2</f>
        <v/>
      </c>
      <c r="H30" s="21">
        <f>F30^2</f>
        <v/>
      </c>
      <c r="I30" s="21">
        <f>E30*F30</f>
        <v/>
      </c>
      <c r="J30" s="21">
        <f>INTERCEPT(D$5:D$36,C$5:C$36)+SLOPE(D$5:D$36,C$5:C$36)*C30</f>
        <v/>
      </c>
      <c r="K30" s="21">
        <f>D30-J30</f>
        <v/>
      </c>
      <c r="L30" s="21">
        <f>K30^2</f>
        <v/>
      </c>
    </row>
    <row r="31">
      <c r="A31" s="10" t="n">
        <v>27</v>
      </c>
      <c r="B31" s="10" t="inlineStr">
        <is>
          <t>0326</t>
        </is>
      </c>
      <c r="C31" s="20" t="n">
        <v>8</v>
      </c>
      <c r="D31" s="20" t="n">
        <v>7.1</v>
      </c>
      <c r="E31" s="20">
        <f>C31-AVERAGE(C$5:C$36)</f>
        <v/>
      </c>
      <c r="F31" s="20">
        <f>D31-AVERAGE(D$5:D$36)</f>
        <v/>
      </c>
      <c r="G31" s="20">
        <f>E31^2</f>
        <v/>
      </c>
      <c r="H31" s="20">
        <f>F31^2</f>
        <v/>
      </c>
      <c r="I31" s="20">
        <f>E31*F31</f>
        <v/>
      </c>
      <c r="J31" s="20">
        <f>INTERCEPT(D$5:D$36,C$5:C$36)+SLOPE(D$5:D$36,C$5:C$36)*C31</f>
        <v/>
      </c>
      <c r="K31" s="20">
        <f>D31-J31</f>
        <v/>
      </c>
      <c r="L31" s="20">
        <f>K31^2</f>
        <v/>
      </c>
    </row>
    <row r="32">
      <c r="A32" s="12" t="n">
        <v>28</v>
      </c>
      <c r="B32" s="12" t="inlineStr">
        <is>
          <t>De200471</t>
        </is>
      </c>
      <c r="C32" s="21" t="n">
        <v>7</v>
      </c>
      <c r="D32" s="21" t="n">
        <v>6</v>
      </c>
      <c r="E32" s="21">
        <f>C32-AVERAGE(C$5:C$36)</f>
        <v/>
      </c>
      <c r="F32" s="21">
        <f>D32-AVERAGE(D$5:D$36)</f>
        <v/>
      </c>
      <c r="G32" s="21">
        <f>E32^2</f>
        <v/>
      </c>
      <c r="H32" s="21">
        <f>F32^2</f>
        <v/>
      </c>
      <c r="I32" s="21">
        <f>E32*F32</f>
        <v/>
      </c>
      <c r="J32" s="21">
        <f>INTERCEPT(D$5:D$36,C$5:C$36)+SLOPE(D$5:D$36,C$5:C$36)*C32</f>
        <v/>
      </c>
      <c r="K32" s="21">
        <f>D32-J32</f>
        <v/>
      </c>
      <c r="L32" s="21">
        <f>K32^2</f>
        <v/>
      </c>
    </row>
    <row r="33">
      <c r="A33" s="10" t="n">
        <v>29</v>
      </c>
      <c r="B33" s="10" t="inlineStr">
        <is>
          <t>4781/phuong</t>
        </is>
      </c>
      <c r="C33" s="20" t="n">
        <v>9</v>
      </c>
      <c r="D33" s="20" t="n">
        <v>5</v>
      </c>
      <c r="E33" s="20">
        <f>C33-AVERAGE(C$5:C$36)</f>
        <v/>
      </c>
      <c r="F33" s="20">
        <f>D33-AVERAGE(D$5:D$36)</f>
        <v/>
      </c>
      <c r="G33" s="20">
        <f>E33^2</f>
        <v/>
      </c>
      <c r="H33" s="20">
        <f>F33^2</f>
        <v/>
      </c>
      <c r="I33" s="20">
        <f>E33*F33</f>
        <v/>
      </c>
      <c r="J33" s="20">
        <f>INTERCEPT(D$5:D$36,C$5:C$36)+SLOPE(D$5:D$36,C$5:C$36)*C33</f>
        <v/>
      </c>
      <c r="K33" s="20">
        <f>D33-J33</f>
        <v/>
      </c>
      <c r="L33" s="20">
        <f>K33^2</f>
        <v/>
      </c>
    </row>
    <row r="34">
      <c r="A34" s="12" t="n">
        <v>30</v>
      </c>
      <c r="B34" s="12" t="inlineStr">
        <is>
          <t>DE200346</t>
        </is>
      </c>
      <c r="C34" s="21" t="n">
        <v>9</v>
      </c>
      <c r="D34" s="21" t="n">
        <v>10</v>
      </c>
      <c r="E34" s="21">
        <f>C34-AVERAGE(C$5:C$36)</f>
        <v/>
      </c>
      <c r="F34" s="21">
        <f>D34-AVERAGE(D$5:D$36)</f>
        <v/>
      </c>
      <c r="G34" s="21">
        <f>E34^2</f>
        <v/>
      </c>
      <c r="H34" s="21">
        <f>F34^2</f>
        <v/>
      </c>
      <c r="I34" s="21">
        <f>E34*F34</f>
        <v/>
      </c>
      <c r="J34" s="21">
        <f>INTERCEPT(D$5:D$36,C$5:C$36)+SLOPE(D$5:D$36,C$5:C$36)*C34</f>
        <v/>
      </c>
      <c r="K34" s="21">
        <f>D34-J34</f>
        <v/>
      </c>
      <c r="L34" s="21">
        <f>K34^2</f>
        <v/>
      </c>
    </row>
    <row r="35">
      <c r="A35" s="10" t="n">
        <v>31</v>
      </c>
      <c r="B35" s="10" t="inlineStr">
        <is>
          <t>0217</t>
        </is>
      </c>
      <c r="C35" s="20" t="n">
        <v>5</v>
      </c>
      <c r="D35" s="20" t="n">
        <v>6.4</v>
      </c>
      <c r="E35" s="20">
        <f>C35-AVERAGE(C$5:C$36)</f>
        <v/>
      </c>
      <c r="F35" s="20">
        <f>D35-AVERAGE(D$5:D$36)</f>
        <v/>
      </c>
      <c r="G35" s="20">
        <f>E35^2</f>
        <v/>
      </c>
      <c r="H35" s="20">
        <f>F35^2</f>
        <v/>
      </c>
      <c r="I35" s="20">
        <f>E35*F35</f>
        <v/>
      </c>
      <c r="J35" s="20">
        <f>INTERCEPT(D$5:D$36,C$5:C$36)+SLOPE(D$5:D$36,C$5:C$36)*C35</f>
        <v/>
      </c>
      <c r="K35" s="20">
        <f>D35-J35</f>
        <v/>
      </c>
      <c r="L35" s="20">
        <f>K35^2</f>
        <v/>
      </c>
    </row>
    <row r="36">
      <c r="A36" s="12" t="n">
        <v>32</v>
      </c>
      <c r="B36" s="12" t="inlineStr">
        <is>
          <t>Kakak</t>
        </is>
      </c>
      <c r="C36" s="21" t="n">
        <v>7</v>
      </c>
      <c r="D36" s="21" t="n">
        <v>6</v>
      </c>
      <c r="E36" s="21">
        <f>C36-AVERAGE(C$5:C$36)</f>
        <v/>
      </c>
      <c r="F36" s="21">
        <f>D36-AVERAGE(D$5:D$36)</f>
        <v/>
      </c>
      <c r="G36" s="21">
        <f>E36^2</f>
        <v/>
      </c>
      <c r="H36" s="21">
        <f>F36^2</f>
        <v/>
      </c>
      <c r="I36" s="21">
        <f>E36*F36</f>
        <v/>
      </c>
      <c r="J36" s="21">
        <f>INTERCEPT(D$5:D$36,C$5:C$36)+SLOPE(D$5:D$36,C$5:C$36)*C36</f>
        <v/>
      </c>
      <c r="K36" s="21">
        <f>D36-J36</f>
        <v/>
      </c>
      <c r="L36" s="21">
        <f>K36^2</f>
        <v/>
      </c>
    </row>
    <row r="37">
      <c r="A37" s="22" t="inlineStr">
        <is>
          <t>TỔNG</t>
        </is>
      </c>
      <c r="B37" s="23" t="n"/>
      <c r="C37" s="24">
        <f>SUM(C5:C36)</f>
        <v/>
      </c>
      <c r="D37" s="24">
        <f>SUM(D5:D36)</f>
        <v/>
      </c>
      <c r="E37" s="24">
        <f>SUM(E5:E36)</f>
        <v/>
      </c>
      <c r="F37" s="24">
        <f>SUM(F5:F36)</f>
        <v/>
      </c>
      <c r="G37" s="24">
        <f>SUM(G5:G36)</f>
        <v/>
      </c>
      <c r="H37" s="24">
        <f>SUM(H5:H36)</f>
        <v/>
      </c>
      <c r="I37" s="24">
        <f>SUM(I5:I36)</f>
        <v/>
      </c>
      <c r="J37" s="24">
        <f>SUM(J5:J36)</f>
        <v/>
      </c>
      <c r="K37" s="24">
        <f>SUM(K5:K36)</f>
        <v/>
      </c>
      <c r="L37" s="24">
        <f>SUM(L5:L36)</f>
        <v/>
      </c>
    </row>
    <row r="38">
      <c r="A38" s="25" t="inlineStr">
        <is>
          <t>TRUNG BÌNH</t>
        </is>
      </c>
      <c r="B38" s="26" t="n"/>
      <c r="C38" s="27">
        <f>AVERAGE(C5:C36)</f>
        <v/>
      </c>
      <c r="D38" s="27">
        <f>AVERAGE(D5:D36)</f>
        <v/>
      </c>
      <c r="E38" s="28" t="n"/>
      <c r="F38" s="28" t="n"/>
      <c r="G38" s="27">
        <f>AVERAGE(G5:G36)</f>
        <v/>
      </c>
      <c r="H38" s="27">
        <f>AVERAGE(H5:H36)</f>
        <v/>
      </c>
      <c r="I38" s="28" t="n"/>
      <c r="J38" s="28" t="n"/>
      <c r="K38" s="28" t="n"/>
      <c r="L38" s="28"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8"/>
  <sheetViews>
    <sheetView showGridLines="1" workbookViewId="0">
      <selection activeCell="A1" sqref="A1"/>
    </sheetView>
  </sheetViews>
  <sheetFormatPr baseColWidth="8" defaultRowHeight="15"/>
  <cols>
    <col width="6" customWidth="1" min="1" max="1"/>
    <col width="28" customWidth="1" min="2" max="2"/>
    <col width="14" customWidth="1" min="3" max="3"/>
    <col width="18" customWidth="1" min="4" max="4"/>
    <col width="18" customWidth="1" min="5" max="5"/>
    <col width="25" customWidth="1" min="6" max="6"/>
    <col width="50" customWidth="1" min="7" max="7"/>
  </cols>
  <sheetData>
    <row r="1">
      <c r="A1" s="2" t="inlineStr">
        <is>
          <t>BẢNG THỐNG KÊ MÔ TẢ ĐẦY ĐỦ VỚI CÔNG THỨC EXCEL (CÂU 3)</t>
        </is>
      </c>
    </row>
    <row r="2">
      <c r="A2" s="3" t="inlineStr">
        <is>
          <t>Tất cả các chỉ số đều được tính động bằng công thức Excel từ sheet 04_Du_Lieu_Sach_Cleaned</t>
        </is>
      </c>
    </row>
    <row r="4">
      <c r="A4" s="5" t="inlineStr">
        <is>
          <t>STT</t>
        </is>
      </c>
      <c r="B4" s="5" t="inlineStr">
        <is>
          <t>Chỉ số thống kê</t>
        </is>
      </c>
      <c r="C4" s="5" t="inlineStr">
        <is>
          <t>Ký hiệu</t>
        </is>
      </c>
      <c r="D4" s="5" t="inlineStr">
        <is>
          <t>Điểm Giữa kỳ (X)</t>
        </is>
      </c>
      <c r="E4" s="5" t="inlineStr">
        <is>
          <t>Điểm Cuối kỳ (Y)</t>
        </is>
      </c>
      <c r="F4" s="5" t="inlineStr">
        <is>
          <t>Công thức Excel sử dụng</t>
        </is>
      </c>
      <c r="G4" s="5" t="inlineStr">
        <is>
          <t>Ý nghĩa và diễn giải học thuật</t>
        </is>
      </c>
    </row>
    <row r="5">
      <c r="A5" s="10" t="n">
        <v>1</v>
      </c>
      <c r="B5" s="11" t="inlineStr">
        <is>
          <t>Cỡ mẫu hợp lệ</t>
        </is>
      </c>
      <c r="C5" s="10" t="inlineStr">
        <is>
          <t>n</t>
        </is>
      </c>
      <c r="D5" s="15">
        <f>COUNT('04_Du_Lieu_Sach_Cleaned'!C5:C36)</f>
        <v/>
      </c>
      <c r="E5" s="15">
        <f>COUNT('04_Du_Lieu_Sach_Cleaned'!D5:D36)</f>
        <v/>
      </c>
      <c r="F5" s="29">
        <f>COUNT(range)</f>
        <v/>
      </c>
      <c r="G5" s="11" t="inlineStr">
        <is>
          <t>Số quan sát độc lập hợp lệ đưa vào nghiên cứu (thỏa n ≥ 30).</t>
        </is>
      </c>
    </row>
    <row r="6">
      <c r="A6" s="12" t="n">
        <v>2</v>
      </c>
      <c r="B6" s="13" t="inlineStr">
        <is>
          <t>Điểm trung bình (Mean)</t>
        </is>
      </c>
      <c r="C6" s="12" t="inlineStr">
        <is>
          <t>X̄, Ȳ</t>
        </is>
      </c>
      <c r="D6" s="21">
        <f>AVERAGE('04_Du_Lieu_Sach_Cleaned'!C5:C36)</f>
        <v/>
      </c>
      <c r="E6" s="21">
        <f>AVERAGE('04_Du_Lieu_Sach_Cleaned'!D5:D36)</f>
        <v/>
      </c>
      <c r="F6" s="30">
        <f>AVERAGE(range)</f>
        <v/>
      </c>
      <c r="G6" s="13" t="inlineStr">
        <is>
          <t>Thước đo xu hướng trung tâm trọng số.</t>
        </is>
      </c>
    </row>
    <row r="7">
      <c r="A7" s="10" t="n">
        <v>3</v>
      </c>
      <c r="B7" s="11" t="inlineStr">
        <is>
          <t>Độ lệch chuẩn mẫu (Std Dev)</t>
        </is>
      </c>
      <c r="C7" s="10" t="inlineStr">
        <is>
          <t>s</t>
        </is>
      </c>
      <c r="D7" s="20">
        <f>STDEV.S('04_Du_Lieu_Sach_Cleaned'!C5:C36)</f>
        <v/>
      </c>
      <c r="E7" s="20">
        <f>STDEV.S('04_Du_Lieu_Sach_Cleaned'!D5:D36)</f>
        <v/>
      </c>
      <c r="F7" s="29">
        <f>STDEV.S(range)</f>
        <v/>
      </c>
      <c r="G7" s="11" t="inlineStr">
        <is>
          <t>Mức độ phân tán điển hình quanh giá trị trung bình (hiệu chỉnh n - 1).</t>
        </is>
      </c>
    </row>
    <row r="8">
      <c r="A8" s="12" t="n">
        <v>4</v>
      </c>
      <c r="B8" s="13" t="inlineStr">
        <is>
          <t>Phương sai mẫu (Sample Variance)</t>
        </is>
      </c>
      <c r="C8" s="12" t="inlineStr">
        <is>
          <t>s²</t>
        </is>
      </c>
      <c r="D8" s="21">
        <f>VAR.S('04_Du_Lieu_Sach_Cleaned'!C5:C36)</f>
        <v/>
      </c>
      <c r="E8" s="21">
        <f>VAR.S('04_Du_Lieu_Sach_Cleaned'!D5:D36)</f>
        <v/>
      </c>
      <c r="F8" s="30">
        <f>VAR.S(range)</f>
        <v/>
      </c>
      <c r="G8" s="13" t="inlineStr">
        <is>
          <t>Bình phương độ lệch chuẩn.</t>
        </is>
      </c>
    </row>
    <row r="9">
      <c r="A9" s="10" t="n">
        <v>5</v>
      </c>
      <c r="B9" s="11" t="inlineStr">
        <is>
          <t>Trung vị (Median)</t>
        </is>
      </c>
      <c r="C9" s="10" t="inlineStr">
        <is>
          <t>Q2</t>
        </is>
      </c>
      <c r="D9" s="20">
        <f>MEDIAN('04_Du_Lieu_Sach_Cleaned'!C5:C36)</f>
        <v/>
      </c>
      <c r="E9" s="20">
        <f>MEDIAN('04_Du_Lieu_Sach_Cleaned'!D5:D36)</f>
        <v/>
      </c>
      <c r="F9" s="29">
        <f>MEDIAN(range)</f>
        <v/>
      </c>
      <c r="G9" s="11" t="inlineStr">
        <is>
          <t>Điểm chia đôi tập dữ liệu (vững trước ngoại lệ hơn Mean).</t>
        </is>
      </c>
    </row>
    <row r="10">
      <c r="A10" s="12" t="n">
        <v>6</v>
      </c>
      <c r="B10" s="13" t="inlineStr">
        <is>
          <t>Tứ phân vị thứ nhất (Q1)</t>
        </is>
      </c>
      <c r="C10" s="12" t="inlineStr">
        <is>
          <t>Q1</t>
        </is>
      </c>
      <c r="D10" s="21">
        <f>QUARTILE.INC('04_Du_Lieu_Sach_Cleaned'!C5:C36, 1)</f>
        <v/>
      </c>
      <c r="E10" s="21">
        <f>QUARTILE.INC('04_Du_Lieu_Sach_Cleaned'!D5:D36, 1)</f>
        <v/>
      </c>
      <c r="F10" s="30">
        <f>QUARTILE.INC(range, 1)</f>
        <v/>
      </c>
      <c r="G10" s="13" t="inlineStr">
        <is>
          <t>25% sinh viên đạt điểm số từ ngưỡng này trở xuống.</t>
        </is>
      </c>
    </row>
    <row r="11">
      <c r="A11" s="10" t="n">
        <v>7</v>
      </c>
      <c r="B11" s="11" t="inlineStr">
        <is>
          <t>Tứ phân vị thứ ba (Q3)</t>
        </is>
      </c>
      <c r="C11" s="10" t="inlineStr">
        <is>
          <t>Q3</t>
        </is>
      </c>
      <c r="D11" s="20">
        <f>QUARTILE.INC('04_Du_Lieu_Sach_Cleaned'!C5:C36, 3)</f>
        <v/>
      </c>
      <c r="E11" s="20">
        <f>QUARTILE.INC('04_Du_Lieu_Sach_Cleaned'!D5:D36, 3)</f>
        <v/>
      </c>
      <c r="F11" s="29">
        <f>QUARTILE.INC(range, 3)</f>
        <v/>
      </c>
      <c r="G11" s="11" t="inlineStr">
        <is>
          <t>75% sinh viên đạt điểm số từ ngưỡng này trở xuống.</t>
        </is>
      </c>
    </row>
    <row r="12">
      <c r="A12" s="12" t="n">
        <v>8</v>
      </c>
      <c r="B12" s="13" t="inlineStr">
        <is>
          <t>Khoảng tứ phân vị (IQR)</t>
        </is>
      </c>
      <c r="C12" s="12" t="inlineStr">
        <is>
          <t>IQR</t>
        </is>
      </c>
      <c r="D12" s="21">
        <f>D10-D9</f>
        <v/>
      </c>
      <c r="E12" s="21">
        <f>E10-E9</f>
        <v/>
      </c>
      <c r="F12" s="30">
        <f>Q3 - Q1</f>
        <v/>
      </c>
      <c r="G12" s="13" t="inlineStr">
        <is>
          <t>Thước đo độ phân tán của 50% quan sát trung tâm.</t>
        </is>
      </c>
    </row>
    <row r="13">
      <c r="A13" s="10" t="n">
        <v>9</v>
      </c>
      <c r="B13" s="11" t="inlineStr">
        <is>
          <t>Điểm số nhỏ nhất (Minimum)</t>
        </is>
      </c>
      <c r="C13" s="10" t="inlineStr">
        <is>
          <t>Min</t>
        </is>
      </c>
      <c r="D13" s="20">
        <f>MIN('04_Du_Lieu_Sach_Cleaned'!C5:C36)</f>
        <v/>
      </c>
      <c r="E13" s="20">
        <f>MIN('04_Du_Lieu_Sach_Cleaned'!D5:D36)</f>
        <v/>
      </c>
      <c r="F13" s="29">
        <f>MIN(range)</f>
        <v/>
      </c>
      <c r="G13" s="11" t="inlineStr">
        <is>
          <t>Điểm thấp nhất ghi nhận trong đợt khảo sát.</t>
        </is>
      </c>
    </row>
    <row r="14">
      <c r="A14" s="12" t="n">
        <v>10</v>
      </c>
      <c r="B14" s="13" t="inlineStr">
        <is>
          <t>Điểm số lớn nhất (Maximum)</t>
        </is>
      </c>
      <c r="C14" s="12" t="inlineStr">
        <is>
          <t>Max</t>
        </is>
      </c>
      <c r="D14" s="21">
        <f>MAX('04_Du_Lieu_Sach_Cleaned'!C5:C36)</f>
        <v/>
      </c>
      <c r="E14" s="21">
        <f>MAX('04_Du_Lieu_Sach_Cleaned'!D5:D36)</f>
        <v/>
      </c>
      <c r="F14" s="30">
        <f>MAX(range)</f>
        <v/>
      </c>
      <c r="G14" s="13" t="inlineStr">
        <is>
          <t>Điểm cao nhất ghi nhận trong đợt khảo sát.</t>
        </is>
      </c>
    </row>
    <row r="15">
      <c r="A15" s="10" t="n">
        <v>11</v>
      </c>
      <c r="B15" s="11" t="inlineStr">
        <is>
          <t>Khoảng biến thiên (Range)</t>
        </is>
      </c>
      <c r="C15" s="10" t="inlineStr">
        <is>
          <t>Range</t>
        </is>
      </c>
      <c r="D15" s="20">
        <f>D13-D12</f>
        <v/>
      </c>
      <c r="E15" s="20">
        <f>E13-E12</f>
        <v/>
      </c>
      <c r="F15" s="29">
        <f>Max - Min</f>
        <v/>
      </c>
      <c r="G15" s="11" t="inlineStr">
        <is>
          <t>Chênh lệch tuyệt đối giữa điểm cao nhất và thấp nhất.</t>
        </is>
      </c>
    </row>
    <row r="16">
      <c r="A16" s="12" t="n">
        <v>12</v>
      </c>
      <c r="B16" s="13" t="inlineStr">
        <is>
          <t>Sai số chuẩn của trung bình</t>
        </is>
      </c>
      <c r="C16" s="12" t="inlineStr">
        <is>
          <t>SE(Mean)</t>
        </is>
      </c>
      <c r="D16" s="21">
        <f>D6/SQRT(D4)</f>
        <v/>
      </c>
      <c r="E16" s="21">
        <f>E6/SQRT(E4)</f>
        <v/>
      </c>
      <c r="F16" s="30">
        <f>s / SQRT(n)</f>
        <v/>
      </c>
      <c r="G16" s="13" t="inlineStr">
        <is>
          <t>Độ biến thiên ước lượng của trung bình mẫu quanh trung bình tổng thể.</t>
        </is>
      </c>
    </row>
    <row r="17">
      <c r="A17" s="10" t="n">
        <v>13</v>
      </c>
      <c r="B17" s="11" t="inlineStr">
        <is>
          <t>Hàng rào dưới ngoại lệ 1.5 IQR</t>
        </is>
      </c>
      <c r="C17" s="10" t="inlineStr">
        <is>
          <t>Lower Fence</t>
        </is>
      </c>
      <c r="D17" s="20">
        <f>D9-1.5*D11</f>
        <v/>
      </c>
      <c r="E17" s="20">
        <f>E9-1.5*E11</f>
        <v/>
      </c>
      <c r="F17" s="29">
        <f>Q1 - 1.5*IQR</f>
        <v/>
      </c>
      <c r="G17" s="11" t="inlineStr">
        <is>
          <t>Ngưỡng phát hiện điểm bất thường thấp (không có điểm nào vi phạm).</t>
        </is>
      </c>
    </row>
    <row r="18">
      <c r="A18" s="12" t="n">
        <v>14</v>
      </c>
      <c r="B18" s="13" t="inlineStr">
        <is>
          <t>Hàng rào trên ngoại lệ 1.5 IQR</t>
        </is>
      </c>
      <c r="C18" s="12" t="inlineStr">
        <is>
          <t>Upper Fence</t>
        </is>
      </c>
      <c r="D18" s="21">
        <f>D10+1.5*D11</f>
        <v/>
      </c>
      <c r="E18" s="21">
        <f>E10+1.5*E11</f>
        <v/>
      </c>
      <c r="F18" s="30">
        <f>Q3 + 1.5*IQR</f>
        <v/>
      </c>
      <c r="G18" s="13" t="inlineStr">
        <is>
          <t>Ngưỡng phát hiện điểm bất thường cao (không có điểm nào vi phạm).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5"/>
  <sheetViews>
    <sheetView showGridLines="1" workbookViewId="0">
      <selection activeCell="A1" sqref="A1"/>
    </sheetView>
  </sheetViews>
  <sheetFormatPr baseColWidth="8" defaultRowHeight="15"/>
  <cols>
    <col width="28" customWidth="1" min="1" max="1"/>
    <col width="16" customWidth="1" min="2" max="2"/>
    <col width="20" customWidth="1" min="3" max="3"/>
    <col width="32" customWidth="1" min="4" max="4"/>
    <col width="45" customWidth="1" min="5" max="5"/>
    <col width="18" customWidth="1" min="6" max="6"/>
  </cols>
  <sheetData>
    <row r="1">
      <c r="A1" s="2" t="inlineStr">
        <is>
          <t>ƯỚC LƯỢNG HỒI QUY TUYẾN TÍNH OLS &amp; BẢNG ANOVA (CÂU 5, 6, 7)</t>
        </is>
      </c>
    </row>
    <row r="2">
      <c r="A2" s="3" t="inlineStr">
        <is>
          <t>Phương trình hồi quy OLS: Ŷ = b0 + b1 * X. Tính toán hoàn toàn bằng công thức Excel gốc</t>
        </is>
      </c>
    </row>
    <row r="4">
      <c r="A4" s="5" t="inlineStr">
        <is>
          <t>Chỉ số hồi quy OLS</t>
        </is>
      </c>
      <c r="B4" s="5" t="inlineStr">
        <is>
          <t>Ký hiệu</t>
        </is>
      </c>
      <c r="C4" s="5" t="inlineStr">
        <is>
          <t>Giá trị tính toán</t>
        </is>
      </c>
      <c r="D4" s="5" t="inlineStr">
        <is>
          <t>Công thức Excel</t>
        </is>
      </c>
      <c r="E4" s="5" t="inlineStr">
        <is>
          <t>Ý nghĩa học thuật và diễn giải kết quả</t>
        </is>
      </c>
    </row>
    <row r="5">
      <c r="A5" s="11" t="inlineStr">
        <is>
          <t>Hệ số tương quan Pearson</t>
        </is>
      </c>
      <c r="B5" s="10" t="inlineStr">
        <is>
          <t>r</t>
        </is>
      </c>
      <c r="C5" s="20">
        <f>CORREL('04_Du_Lieu_Sach_Cleaned'!C5:C36, '04_Du_Lieu_Sach_Cleaned'!D5:D36)</f>
        <v/>
      </c>
      <c r="D5" s="29">
        <f>CORREL(X_range, Y_range)</f>
        <v/>
      </c>
      <c r="E5" s="11" t="inlineStr">
        <is>
          <t>Mối quan hệ tuyến tính đồng biến mức độ trung bình-khá.</t>
        </is>
      </c>
    </row>
    <row r="6">
      <c r="A6" s="13" t="inlineStr">
        <is>
          <t>Hệ số góc hồi quy</t>
        </is>
      </c>
      <c r="B6" s="12" t="inlineStr">
        <is>
          <t>b1</t>
        </is>
      </c>
      <c r="C6" s="21">
        <f>SLOPE('04_Du_Lieu_Sach_Cleaned'!D5:D36, '04_Du_Lieu_Sach_Cleaned'!C5:C36)</f>
        <v/>
      </c>
      <c r="D6" s="30">
        <f>SLOPE(Y_range, X_range)</f>
        <v/>
      </c>
      <c r="E6" s="13" t="inlineStr">
        <is>
          <t>Khi điểm giữa kỳ tăng 1.0 điểm, điểm cuối kỳ dự đoán tăng trung bình ~0.500 điểm.</t>
        </is>
      </c>
    </row>
    <row r="7">
      <c r="A7" s="11" t="inlineStr">
        <is>
          <t>Hệ số chặn hồi quy</t>
        </is>
      </c>
      <c r="B7" s="10" t="inlineStr">
        <is>
          <t>b0</t>
        </is>
      </c>
      <c r="C7" s="20">
        <f>INTERCEPT('04_Du_Lieu_Sach_Cleaned'!D5:D36, '04_Du_Lieu_Sach_Cleaned'!C5:C36)</f>
        <v/>
      </c>
      <c r="D7" s="29">
        <f>INTERCEPT(Y_range, X_range)</f>
        <v/>
      </c>
      <c r="E7" s="11" t="inlineStr">
        <is>
          <t>Giá trị định vị đường hồi quy trên đồ thị (tại X = 0).</t>
        </is>
      </c>
    </row>
    <row r="8">
      <c r="A8" s="13" t="inlineStr">
        <is>
          <t>Hệ số xác định</t>
        </is>
      </c>
      <c r="B8" s="12" t="inlineStr">
        <is>
          <t>R²</t>
        </is>
      </c>
      <c r="C8" s="21">
        <f>RSQ('04_Du_Lieu_Sach_Cleaned'!D5:D36, '04_Du_Lieu_Sach_Cleaned'!C5:C36)</f>
        <v/>
      </c>
      <c r="D8" s="30">
        <f>RSQ(Y_range, X_range)</f>
        <v/>
      </c>
      <c r="E8" s="13" t="inlineStr">
        <is>
          <t>Điểm giữa kỳ giải thích được 24.5% sự biến thiên của điểm thi cuối kỳ.</t>
        </is>
      </c>
    </row>
    <row r="9">
      <c r="A9" s="11" t="inlineStr">
        <is>
          <t>Tổng bình phương lệch X</t>
        </is>
      </c>
      <c r="B9" s="10" t="inlineStr">
        <is>
          <t>Sxx</t>
        </is>
      </c>
      <c r="C9" s="20">
        <f>DEVSQ('04_Du_Lieu_Sach_Cleaned'!C5:C36)</f>
        <v/>
      </c>
      <c r="D9" s="29">
        <f>DEVSQ(X_range)</f>
        <v/>
      </c>
      <c r="E9" s="11" t="inlineStr">
        <is>
          <t>Độ biến thiên toàn phần của biến độc lập X.</t>
        </is>
      </c>
    </row>
    <row r="10">
      <c r="A10" s="13" t="inlineStr">
        <is>
          <t>Tổng bình phương lệch Y</t>
        </is>
      </c>
      <c r="B10" s="12" t="inlineStr">
        <is>
          <t>Syy</t>
        </is>
      </c>
      <c r="C10" s="21">
        <f>DEVSQ('04_Du_Lieu_Sach_Cleaned'!D5:D36)</f>
        <v/>
      </c>
      <c r="D10" s="30">
        <f>DEVSQ(Y_range)</f>
        <v/>
      </c>
      <c r="E10" s="13" t="inlineStr">
        <is>
          <t>Độ biến thiên toàn phần của biến phụ thuộc Y (SST).</t>
        </is>
      </c>
    </row>
    <row r="11">
      <c r="A11" s="11" t="inlineStr">
        <is>
          <t>Tổng bình phương hồi quy</t>
        </is>
      </c>
      <c r="B11" s="10" t="inlineStr">
        <is>
          <t>SSR</t>
        </is>
      </c>
      <c r="C11" s="20">
        <f>C6^2*C9</f>
        <v/>
      </c>
      <c r="D11" s="29">
        <f>b1^2 * Sxx</f>
        <v/>
      </c>
      <c r="E11" s="11" t="inlineStr">
        <is>
          <t>Mức biến thiên được giải thích bởi mô hình hồi quy OLS.</t>
        </is>
      </c>
    </row>
    <row r="12">
      <c r="A12" s="13" t="inlineStr">
        <is>
          <t>Tổng bình phương sai số</t>
        </is>
      </c>
      <c r="B12" s="12" t="inlineStr">
        <is>
          <t>SSE</t>
        </is>
      </c>
      <c r="C12" s="21">
        <f>C10-C11</f>
        <v/>
      </c>
      <c r="D12" s="30">
        <f>SST - SSR</f>
        <v/>
      </c>
      <c r="E12" s="13" t="inlineStr">
        <is>
          <t>Mức biến thiên chưa được giải thích (do yếu tố ngẫu nhiên / ngoài mô hình).</t>
        </is>
      </c>
    </row>
    <row r="13">
      <c r="A13" s="11" t="inlineStr">
        <is>
          <t>Bậc tự do phần dư</t>
        </is>
      </c>
      <c r="B13" s="10" t="inlineStr">
        <is>
          <t>df_res</t>
        </is>
      </c>
      <c r="C13" s="15">
        <f>'05_Thong_Ke_Mo_Ta'!D5-2</f>
        <v/>
      </c>
      <c r="D13" s="29">
        <f>n - 2</f>
        <v/>
      </c>
      <c r="E13" s="11" t="inlineStr">
        <is>
          <t>Số bậc tự do cho ước lượng sai số hồi quy (df = 30).</t>
        </is>
      </c>
    </row>
    <row r="14">
      <c r="A14" s="13" t="inlineStr">
        <is>
          <t>Sai số chuẩn của hồi quy</t>
        </is>
      </c>
      <c r="B14" s="12" t="inlineStr">
        <is>
          <t>s</t>
        </is>
      </c>
      <c r="C14" s="21">
        <f>SQRT(C12/C13)</f>
        <v/>
      </c>
      <c r="D14" s="30">
        <f>SQRT(SSE / df_res)</f>
        <v/>
      </c>
      <c r="E14" s="13" t="inlineStr">
        <is>
          <t>Độ phân tán điển hình của điểm thực tế quanh đường hồi quy (~0.768 điểm).</t>
        </is>
      </c>
    </row>
    <row r="15">
      <c r="A15" s="11" t="inlineStr">
        <is>
          <t>Sai số chuẩn của hệ số góc</t>
        </is>
      </c>
      <c r="B15" s="10" t="inlineStr">
        <is>
          <t>SE(b1)</t>
        </is>
      </c>
      <c r="C15" s="20">
        <f>C14/SQRT(C9)</f>
        <v/>
      </c>
      <c r="D15" s="29">
        <f>s / SQRT(Sxx)</f>
        <v/>
      </c>
      <c r="E15" s="11" t="inlineStr">
        <is>
          <t>Độ tin cậy của ước lượng hệ số góc (~0.160).</t>
        </is>
      </c>
    </row>
    <row r="16">
      <c r="A16" s="13" t="inlineStr">
        <is>
          <t>Sai số chuẩn của hệ số chặn</t>
        </is>
      </c>
      <c r="B16" s="12" t="inlineStr">
        <is>
          <t>SE(b0)</t>
        </is>
      </c>
      <c r="C16" s="21">
        <f>C14*SQRT(1/'05_Thong_Ke_Mo_Ta'!D5 + '05_Thong_Ke_Mo_Ta'!D6^2 / C9)</f>
        <v/>
      </c>
      <c r="D16" s="30">
        <f>s*SQRT(1/n + X_bar^2/Sxx)</f>
        <v/>
      </c>
      <c r="E16" s="13" t="inlineStr">
        <is>
          <t>Độ tin cậy của ước lượng hệ số chặn (~1.205).</t>
        </is>
      </c>
    </row>
    <row r="17">
      <c r="A17" s="11" t="inlineStr">
        <is>
          <t>Thống kê t cho hệ số góc b1</t>
        </is>
      </c>
      <c r="B17" s="10" t="inlineStr">
        <is>
          <t>t_b1</t>
        </is>
      </c>
      <c r="C17" s="20">
        <f>C6/C15</f>
        <v/>
      </c>
      <c r="D17" s="29">
        <f>b1 / SE(b1)</f>
        <v/>
      </c>
      <c r="E17" s="11" t="inlineStr">
        <is>
          <t>Kiểm định ý nghĩa thống kê của hệ số góc (t = 3.120).</t>
        </is>
      </c>
    </row>
    <row r="18">
      <c r="A18" s="13" t="inlineStr">
        <is>
          <t>p-value của hệ số góc (2 phía)</t>
        </is>
      </c>
      <c r="B18" s="12" t="inlineStr">
        <is>
          <t>p_val</t>
        </is>
      </c>
      <c r="C18" s="21">
        <f>T.DIST.2T(ABS(C17), C13)</f>
        <v/>
      </c>
      <c r="D18" s="30">
        <f>T.DIST.2T(ABS(t), df)</f>
        <v/>
      </c>
      <c r="E18" s="13" t="inlineStr">
        <is>
          <t>p-value = 0.0039 &lt; 0.05 -&gt; Bác bỏ H0, mối quan hệ có ý nghĩa thống kê cao.</t>
        </is>
      </c>
    </row>
    <row r="21">
      <c r="A21" s="3" t="inlineStr">
        <is>
          <t>BẢNG PHÂN TÍCH BIẾN THIÊN ANOVA CHO MÔ HÌNH HỒI QUY</t>
        </is>
      </c>
    </row>
    <row r="22">
      <c r="A22" s="5" t="inlineStr">
        <is>
          <t>Nguồn biến thiên</t>
        </is>
      </c>
      <c r="B22" s="5" t="inlineStr">
        <is>
          <t>Bậc tự do (df)</t>
        </is>
      </c>
      <c r="C22" s="5" t="inlineStr">
        <is>
          <t>Tổng bình phương (SS)</t>
        </is>
      </c>
      <c r="D22" s="5" t="inlineStr">
        <is>
          <t>Trung bình bình phương (MS)</t>
        </is>
      </c>
      <c r="E22" s="5" t="inlineStr">
        <is>
          <t>Thống kê F</t>
        </is>
      </c>
      <c r="F22" s="5" t="inlineStr">
        <is>
          <t>p-value (F)</t>
        </is>
      </c>
    </row>
    <row r="23">
      <c r="A23" s="11" t="inlineStr">
        <is>
          <t>Hồi quy (Regression)</t>
        </is>
      </c>
      <c r="B23" s="10" t="n">
        <v>1</v>
      </c>
      <c r="C23" s="20">
        <f>C11</f>
        <v/>
      </c>
      <c r="D23" s="20">
        <f>C23/B23</f>
        <v/>
      </c>
      <c r="E23" s="20">
        <f>D23/D24</f>
        <v/>
      </c>
      <c r="F23" s="20">
        <f>F.DIST.RT(E23, B23, B24)</f>
        <v/>
      </c>
    </row>
    <row r="24">
      <c r="A24" s="11" t="inlineStr">
        <is>
          <t>Phần dư (Residual/Error)</t>
        </is>
      </c>
      <c r="B24" s="10">
        <f>C13</f>
        <v/>
      </c>
      <c r="C24" s="20">
        <f>C12</f>
        <v/>
      </c>
      <c r="D24" s="20">
        <f>C24/B24</f>
        <v/>
      </c>
      <c r="E24" s="10" t="inlineStr"/>
      <c r="F24" s="10" t="inlineStr"/>
    </row>
    <row r="25">
      <c r="A25" s="31" t="inlineStr">
        <is>
          <t>Tổng cộng (Total)</t>
        </is>
      </c>
      <c r="B25" s="25">
        <f>B23+B24</f>
        <v/>
      </c>
      <c r="C25" s="27">
        <f>C23+C24</f>
        <v/>
      </c>
      <c r="D25" s="25" t="inlineStr"/>
      <c r="E25" s="25" t="inlineStr"/>
      <c r="F25" s="2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2"/>
  <sheetViews>
    <sheetView showGridLines="1" workbookViewId="0">
      <selection activeCell="A1" sqref="A1"/>
    </sheetView>
  </sheetViews>
  <sheetFormatPr baseColWidth="8" defaultRowHeight="15"/>
  <cols>
    <col width="32" customWidth="1" min="1" max="1"/>
    <col width="16" customWidth="1" min="2" max="2"/>
    <col width="20" customWidth="1" min="3" max="3"/>
    <col width="30" customWidth="1" min="4" max="4"/>
    <col width="50" customWidth="1" min="5" max="5"/>
  </cols>
  <sheetData>
    <row r="1">
      <c r="A1" s="2" t="inlineStr">
        <is>
          <t>KHOẢNG TIN CẬY 95% VÀ KIỂM ĐỊNH GIẢ THUYẾT (CÂU 9, 10, 11, 12)</t>
        </is>
      </c>
    </row>
    <row r="2">
      <c r="A2" s="3" t="inlineStr">
        <is>
          <t>Sử dụng phân phối Student t hai phía và một phía với bậc tự do chính xác</t>
        </is>
      </c>
    </row>
    <row r="4">
      <c r="A4" s="3" t="inlineStr">
        <is>
          <t>I. ƯỚC LƯỢNG VÀ KIỂM ĐỊNH CHO ĐIỂM CUỐI KỲ TRUNG BÌNH μ_Y (CÂU 9 &amp; CÂU 10)</t>
        </is>
      </c>
    </row>
    <row r="5">
      <c r="A5" s="5" t="inlineStr">
        <is>
          <t>Chỉ số</t>
        </is>
      </c>
      <c r="B5" s="5" t="inlineStr">
        <is>
          <t>Ký hiệu</t>
        </is>
      </c>
      <c r="C5" s="5" t="inlineStr">
        <is>
          <t>Giá trị tính toán</t>
        </is>
      </c>
      <c r="D5" s="5" t="inlineStr">
        <is>
          <t>Công thức Excel</t>
        </is>
      </c>
      <c r="E5" s="5" t="inlineStr">
        <is>
          <t>Diễn giải ý nghĩa học thuật</t>
        </is>
      </c>
    </row>
    <row r="6">
      <c r="A6" s="11" t="inlineStr">
        <is>
          <t>Trung bình mẫu Điểm cuối kỳ</t>
        </is>
      </c>
      <c r="B6" s="10" t="inlineStr">
        <is>
          <t>Ȳ</t>
        </is>
      </c>
      <c r="C6" s="20">
        <f>'05_Thong_Ke_Mo_Ta'!E6</f>
        <v/>
      </c>
      <c r="D6" s="29">
        <f>'05_Thong_Ke_Mo_Ta'!E6</f>
        <v/>
      </c>
      <c r="E6" s="11" t="inlineStr">
        <is>
          <t>Ước lượng điểm của trung bình tổng thể.</t>
        </is>
      </c>
    </row>
    <row r="7">
      <c r="A7" s="13" t="inlineStr">
        <is>
          <t>Độ lệch chuẩn mẫu Điểm cuối kỳ</t>
        </is>
      </c>
      <c r="B7" s="12" t="inlineStr">
        <is>
          <t>s_Y</t>
        </is>
      </c>
      <c r="C7" s="21">
        <f>'05_Thong_Ke_Mo_Ta'!E7</f>
        <v/>
      </c>
      <c r="D7" s="30">
        <f>'05_Thong_Ke_Mo_Ta'!E7</f>
        <v/>
      </c>
      <c r="E7" s="13" t="inlineStr">
        <is>
          <t>Độ biến thiên mẫu.</t>
        </is>
      </c>
    </row>
    <row r="8">
      <c r="A8" s="11" t="inlineStr">
        <is>
          <t>Sai số chuẩn của trung bình</t>
        </is>
      </c>
      <c r="B8" s="10" t="inlineStr">
        <is>
          <t>SE(Ȳ)</t>
        </is>
      </c>
      <c r="C8" s="20">
        <f>C7/SQRT('05_Thong_Ke_Mo_Ta'!E5)</f>
        <v/>
      </c>
      <c r="D8" s="29">
        <f>s_Y / SQRT(n)</f>
        <v/>
      </c>
      <c r="E8" s="11" t="inlineStr">
        <is>
          <t>Độ chính xác của ước lượng trung bình.</t>
        </is>
      </c>
    </row>
    <row r="9">
      <c r="A9" s="13" t="inlineStr">
        <is>
          <t>Bậc tự do</t>
        </is>
      </c>
      <c r="B9" s="12" t="inlineStr">
        <is>
          <t>df</t>
        </is>
      </c>
      <c r="C9" s="14">
        <f>'05_Thong_Ke_Mo_Ta'!E5-1</f>
        <v/>
      </c>
      <c r="D9" s="30">
        <f>n - 1</f>
        <v/>
      </c>
      <c r="E9" s="13" t="inlineStr">
        <is>
          <t>31 bậc tự do cho kiểm định một mẫu.</t>
        </is>
      </c>
    </row>
    <row r="10">
      <c r="A10" s="11" t="inlineStr">
        <is>
          <t>Giá trị t tới hạn (α = 0.05, 2 phía)</t>
        </is>
      </c>
      <c r="B10" s="10" t="inlineStr">
        <is>
          <t>t_crit_2t</t>
        </is>
      </c>
      <c r="C10" s="20">
        <f>T.INV.2T(0.05, C9)</f>
        <v/>
      </c>
      <c r="D10" s="29">
        <f>T.INV.2T(0.05, df)</f>
        <v/>
      </c>
      <c r="E10" s="11" t="inlineStr">
        <is>
          <t>Phân vị chuẩn Student cho độ tin cậy 95% (t = 2.040).</t>
        </is>
      </c>
    </row>
    <row r="11">
      <c r="A11" s="13" t="inlineStr">
        <is>
          <t>Biên sai số (Margin of Error)</t>
        </is>
      </c>
      <c r="B11" s="12" t="inlineStr">
        <is>
          <t>E</t>
        </is>
      </c>
      <c r="C11" s="21">
        <f>C10*C8</f>
        <v/>
      </c>
      <c r="D11" s="30">
        <f>t_crit * SE</f>
        <v/>
      </c>
      <c r="E11" s="13" t="inlineStr">
        <is>
          <t>Bán kính khoảng tin cậy 95% (~0.315 điểm).</t>
        </is>
      </c>
    </row>
    <row r="12">
      <c r="A12" s="11" t="inlineStr">
        <is>
          <t>95% KTC — Cận dưới</t>
        </is>
      </c>
      <c r="B12" s="10" t="inlineStr">
        <is>
          <t>Lower_CI</t>
        </is>
      </c>
      <c r="C12" s="20">
        <f>C6-C11</f>
        <v/>
      </c>
      <c r="D12" s="29">
        <f>Ȳ - E</f>
        <v/>
      </c>
      <c r="E12" s="11" t="inlineStr">
        <is>
          <t>Cận dưới khoảng tin cậy 95% của μ_Y (~7.073).</t>
        </is>
      </c>
    </row>
    <row r="13">
      <c r="A13" s="13" t="inlineStr">
        <is>
          <t>95% KTC — Cận trên</t>
        </is>
      </c>
      <c r="B13" s="12" t="inlineStr">
        <is>
          <t>Upper_CI</t>
        </is>
      </c>
      <c r="C13" s="21">
        <f>C6+C11</f>
        <v/>
      </c>
      <c r="D13" s="30">
        <f>Ȳ + E</f>
        <v/>
      </c>
      <c r="E13" s="13" t="inlineStr">
        <is>
          <t>Cận trên khoảng tin cậy 95% của μ_Y (~7.702).</t>
        </is>
      </c>
    </row>
    <row r="14">
      <c r="A14" s="11" t="inlineStr">
        <is>
          <t>Mốc kiểm định giả thuyết (H0: μ ≤ 7.0)</t>
        </is>
      </c>
      <c r="B14" s="10" t="inlineStr">
        <is>
          <t>μ0</t>
        </is>
      </c>
      <c r="C14" s="15" t="n">
        <v>7</v>
      </c>
      <c r="D14" s="29" t="inlineStr">
        <is>
          <t>7.0</t>
        </is>
      </c>
      <c r="E14" s="11" t="inlineStr">
        <is>
          <t>Mốc điểm kiểm định theo yêu cầu đề bài.</t>
        </is>
      </c>
    </row>
    <row r="15">
      <c r="A15" s="13" t="inlineStr">
        <is>
          <t>Thống kê kiểm định t</t>
        </is>
      </c>
      <c r="B15" s="12" t="inlineStr">
        <is>
          <t>t_stat</t>
        </is>
      </c>
      <c r="C15" s="21">
        <f>(C6-C14)/C8</f>
        <v/>
      </c>
      <c r="D15" s="30">
        <f>(Ȳ - μ0) / SE</f>
        <v/>
      </c>
      <c r="E15" s="13" t="inlineStr">
        <is>
          <t>Thống kê t đo khoảng cách chuẩn hóa (t = 2.496).</t>
        </is>
      </c>
    </row>
    <row r="16">
      <c r="A16" s="11" t="inlineStr">
        <is>
          <t>p-value một phía (Right-tailed)</t>
        </is>
      </c>
      <c r="B16" s="10" t="inlineStr">
        <is>
          <t>p_val_1t</t>
        </is>
      </c>
      <c r="C16" s="20">
        <f>1-T.DIST(C15, C9, TRUE)</f>
        <v/>
      </c>
      <c r="D16" s="29">
        <f>1 - T.DIST(t, df, TRUE)</f>
        <v/>
      </c>
      <c r="E16" s="11" t="inlineStr">
        <is>
          <t>p-value = 0.0091 &lt; 0.05 -&gt; Bác bỏ H0.</t>
        </is>
      </c>
    </row>
    <row r="17">
      <c r="A17" s="13" t="inlineStr">
        <is>
          <t>Kết luận kiểm định Câu 10</t>
        </is>
      </c>
      <c r="B17" s="12" t="inlineStr">
        <is>
          <t>Decision</t>
        </is>
      </c>
      <c r="C17" s="14">
        <f>"Bác bỏ H0 (p = " &amp; TEXT(C16, "0.0000") &amp; " &lt; 0.05). Điểm cuối kỳ TB lớn hơn 7.0 có ý nghĩa thống kê."</f>
        <v/>
      </c>
      <c r="D17" s="30" t="inlineStr"/>
      <c r="E17" s="13" t="inlineStr">
        <is>
          <t>Có đủ bằng chứng thống kê khẳng định điểm cuối kỳ trung bình vượt 7.0.</t>
        </is>
      </c>
    </row>
    <row r="20">
      <c r="A20" s="3" t="inlineStr">
        <is>
          <t>II. ƯỚC LƯỢNG VÀ KIỂM ĐỊNH CHO HỆ SỐ GÓC HỒI QUY β_1 (CÂU 11 &amp; CÂU 12)</t>
        </is>
      </c>
    </row>
    <row r="21">
      <c r="A21" s="5" t="inlineStr">
        <is>
          <t>Chỉ số</t>
        </is>
      </c>
      <c r="B21" s="5" t="inlineStr">
        <is>
          <t>Ký hiệu</t>
        </is>
      </c>
      <c r="C21" s="5" t="inlineStr">
        <is>
          <t>Giá trị tính toán</t>
        </is>
      </c>
      <c r="D21" s="5" t="inlineStr">
        <is>
          <t>Công thức Excel</t>
        </is>
      </c>
      <c r="E21" s="5" t="inlineStr">
        <is>
          <t>Diễn giải ý nghĩa học thuật</t>
        </is>
      </c>
    </row>
    <row r="22">
      <c r="A22" s="11" t="inlineStr">
        <is>
          <t>Hệ số góc hồi quy OLS mẫu</t>
        </is>
      </c>
      <c r="B22" s="10" t="inlineStr">
        <is>
          <t>b1</t>
        </is>
      </c>
      <c r="C22" s="20">
        <f>'06_Hoi_Quy_OLS'!C6</f>
        <v/>
      </c>
      <c r="D22" s="29">
        <f>'06_Hoi_Quy_OLS'!C6</f>
        <v/>
      </c>
      <c r="E22" s="11" t="inlineStr">
        <is>
          <t>Ước lượng độ dốc mẫu (~0.4999).</t>
        </is>
      </c>
    </row>
    <row r="23">
      <c r="A23" s="13" t="inlineStr">
        <is>
          <t>Sai số chuẩn của hệ số góc</t>
        </is>
      </c>
      <c r="B23" s="12" t="inlineStr">
        <is>
          <t>SE(b1)</t>
        </is>
      </c>
      <c r="C23" s="21">
        <f>'06_Hoi_Quy_OLS'!C15</f>
        <v/>
      </c>
      <c r="D23" s="30">
        <f>'06_Hoi_Quy_OLS'!C15</f>
        <v/>
      </c>
      <c r="E23" s="13" t="inlineStr">
        <is>
          <t>SE = s / SQRT(Sxx) (~0.1602).</t>
        </is>
      </c>
    </row>
    <row r="24">
      <c r="A24" s="11" t="inlineStr">
        <is>
          <t>Bậc tự do phần dư</t>
        </is>
      </c>
      <c r="B24" s="10" t="inlineStr">
        <is>
          <t>df_res</t>
        </is>
      </c>
      <c r="C24" s="15">
        <f>'06_Hoi_Quy_OLS'!C13</f>
        <v/>
      </c>
      <c r="D24" s="29">
        <f>'06_Hoi_Quy_OLS'!C13</f>
        <v/>
      </c>
      <c r="E24" s="11" t="inlineStr">
        <is>
          <t>df = n - 2 = 30.</t>
        </is>
      </c>
    </row>
    <row r="25">
      <c r="A25" s="13" t="inlineStr">
        <is>
          <t>Giá trị t tới hạn (α = 0.05, 2 phía)</t>
        </is>
      </c>
      <c r="B25" s="12" t="inlineStr">
        <is>
          <t>t_crit_2t</t>
        </is>
      </c>
      <c r="C25" s="21">
        <f>T.INV.2T(0.05, C24)</f>
        <v/>
      </c>
      <c r="D25" s="30">
        <f>T.INV.2T(0.05, df)</f>
        <v/>
      </c>
      <c r="E25" s="13" t="inlineStr">
        <is>
          <t>Phân vị Student hai phía (t = 2.042).</t>
        </is>
      </c>
    </row>
    <row r="26">
      <c r="A26" s="11" t="inlineStr">
        <is>
          <t>Biên sai số hệ số góc</t>
        </is>
      </c>
      <c r="B26" s="10" t="inlineStr">
        <is>
          <t>E_b1</t>
        </is>
      </c>
      <c r="C26" s="20">
        <f>C25*C23</f>
        <v/>
      </c>
      <c r="D26" s="29">
        <f>t_crit * SE(b1)</f>
        <v/>
      </c>
      <c r="E26" s="11" t="inlineStr">
        <is>
          <t>Bán kính KTC (~0.327).</t>
        </is>
      </c>
    </row>
    <row r="27">
      <c r="A27" s="13" t="inlineStr">
        <is>
          <t>95% KTC cho β_1 — Cận dưới</t>
        </is>
      </c>
      <c r="B27" s="12" t="inlineStr">
        <is>
          <t>Lower_CI</t>
        </is>
      </c>
      <c r="C27" s="21">
        <f>C22-C26</f>
        <v/>
      </c>
      <c r="D27" s="30">
        <f>b1 - E_b1</f>
        <v/>
      </c>
      <c r="E27" s="13" t="inlineStr">
        <is>
          <t>Cận dưới khoảng tin cậy 95% (~0.173).</t>
        </is>
      </c>
    </row>
    <row r="28">
      <c r="A28" s="11" t="inlineStr">
        <is>
          <t>95% KTC cho β_1 — Cận trên</t>
        </is>
      </c>
      <c r="B28" s="10" t="inlineStr">
        <is>
          <t>Upper_CI</t>
        </is>
      </c>
      <c r="C28" s="20">
        <f>C22+C26</f>
        <v/>
      </c>
      <c r="D28" s="29">
        <f>b1 + E_b1</f>
        <v/>
      </c>
      <c r="E28" s="11" t="inlineStr">
        <is>
          <t>Cận trên khoảng tin cậy 95% (~0.827).</t>
        </is>
      </c>
    </row>
    <row r="29">
      <c r="A29" s="13" t="inlineStr">
        <is>
          <t>Kiểm tra khoảng chứa giá trị 0?</t>
        </is>
      </c>
      <c r="B29" s="12" t="inlineStr">
        <is>
          <t>Contains_0</t>
        </is>
      </c>
      <c r="C29" s="14">
        <f>IF(AND(C27&lt;=0, C28&gt;=0), "CÓ", "KHÔNG")</f>
        <v/>
      </c>
      <c r="D29" s="30">
        <f>IF(AND(Lower&lt;=0, Upper&gt;=0), "CÓ", "KHÔNG")</f>
        <v/>
      </c>
      <c r="E29" s="13" t="inlineStr">
        <is>
          <t>Khoảng tin cậy hoàn toàn nằm bên dương (&gt; 0).</t>
        </is>
      </c>
    </row>
    <row r="30">
      <c r="A30" s="11" t="inlineStr">
        <is>
          <t>Thống kê kiểm định t (H0: β_1 = 0)</t>
        </is>
      </c>
      <c r="B30" s="10" t="inlineStr">
        <is>
          <t>t_stat</t>
        </is>
      </c>
      <c r="C30" s="20">
        <f>C22/C23</f>
        <v/>
      </c>
      <c r="D30" s="29">
        <f>b1 / SE(b1)</f>
        <v/>
      </c>
      <c r="E30" s="11" t="inlineStr">
        <is>
          <t>t = 3.120.</t>
        </is>
      </c>
    </row>
    <row r="31">
      <c r="A31" s="13" t="inlineStr">
        <is>
          <t>p-value hai phía (Two-tailed)</t>
        </is>
      </c>
      <c r="B31" s="12" t="inlineStr">
        <is>
          <t>p_val_2t</t>
        </is>
      </c>
      <c r="C31" s="21">
        <f>T.DIST.2T(ABS(C30), C24)</f>
        <v/>
      </c>
      <c r="D31" s="30">
        <f>T.DIST.2T(ABS(t), df)</f>
        <v/>
      </c>
      <c r="E31" s="13" t="inlineStr">
        <is>
          <t>p-value = 0.0039 &lt; 0.05 -&gt; Bác bỏ H0.</t>
        </is>
      </c>
    </row>
    <row r="32">
      <c r="A32" s="11" t="inlineStr">
        <is>
          <t>Kết luận kiểm định Câu 12</t>
        </is>
      </c>
      <c r="B32" s="10" t="inlineStr">
        <is>
          <t>Decision</t>
        </is>
      </c>
      <c r="C32" s="15">
        <f>"Bác bỏ H0 (p = " &amp; TEXT(C31, "0.0000") &amp; " &lt; 0.05). Tồn tại mối quan hệ tuyến tính có ý nghĩa thống kê."</f>
        <v/>
      </c>
      <c r="D32" s="29" t="inlineStr"/>
      <c r="E32" s="11" t="inlineStr">
        <is>
          <t>Hoàn toàn nhất quán với việc 95% KTC không chứa 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2"/>
  <sheetViews>
    <sheetView showGridLines="1"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45" customWidth="1" min="9" max="9"/>
  </cols>
  <sheetData>
    <row r="1">
      <c r="A1" s="2" t="inlineStr">
        <is>
          <t>DỰ ĐOÁN ĐIỂM CUỐI KỲ THEO ĐIỂM GIỮA KỲ VÀ KHOẢNG DỰ ĐOÁN (CÂU 1A)</t>
        </is>
      </c>
    </row>
    <row r="2">
      <c r="A2" s="3" t="inlineStr">
        <is>
          <t>Phân biệt rõ Khoảng tin cậy cho Trung bình (Mean CI) và Khoảng dự đoán cho Cá nhân (Individual PI)</t>
        </is>
      </c>
    </row>
    <row r="3"/>
    <row r="4">
      <c r="A4" s="5" t="inlineStr">
        <is>
          <t>Mốc Giữa kỳ (X)</t>
        </is>
      </c>
      <c r="B4" s="5" t="inlineStr">
        <is>
          <t>Điểm Cuối kỳ dự đoán (Ŷ)</t>
        </is>
      </c>
      <c r="C4" s="5" t="inlineStr">
        <is>
          <t>SE (Mean Response)</t>
        </is>
      </c>
      <c r="D4" s="5" t="inlineStr">
        <is>
          <t>95% KTC Trung bình — Dưới</t>
        </is>
      </c>
      <c r="E4" s="5" t="inlineStr">
        <is>
          <t>95% KTC Trung bình — Trên</t>
        </is>
      </c>
      <c r="F4" s="5" t="inlineStr">
        <is>
          <t>SE (Individual Pred)</t>
        </is>
      </c>
      <c r="G4" s="5" t="inlineStr">
        <is>
          <t>95% Khoảng dự đoán — Dưới</t>
        </is>
      </c>
      <c r="H4" s="5" t="inlineStr">
        <is>
          <t>95% Khoảng dự đoán — Trên</t>
        </is>
      </c>
      <c r="I4" s="5" t="inlineStr">
        <is>
          <t>Công thức Excel áp dụng</t>
        </is>
      </c>
    </row>
    <row r="5">
      <c r="A5" s="32" t="n">
        <v>6</v>
      </c>
      <c r="B5" s="20">
        <f>'06_Hoi_Quy_OLS'!C7+'06_Hoi_Quy_OLS'!C6*A5</f>
        <v/>
      </c>
      <c r="C5" s="20">
        <f>'06_Hoi_Quy_OLS'!C14*SQRT(1/'05_Thong_Ke_Mo_Ta'!D5+(A5-'05_Thong_Ke_Mo_Ta'!D6)^2/'06_Hoi_Quy_OLS'!C9)</f>
        <v/>
      </c>
      <c r="D5" s="20">
        <f>B5-'07_Khoang_Tin_Cay_Va_Kiem_Dinh'!C25*C5</f>
        <v/>
      </c>
      <c r="E5" s="20">
        <f>B5+'07_Khoang_Tin_Cay_Va_Kiem_Dinh'!C25*C5</f>
        <v/>
      </c>
      <c r="F5" s="20">
        <f>'06_Hoi_Quy_OLS'!C14*SQRT(1+1/'05_Thong_Ke_Mo_Ta'!D5+(A5-'05_Thong_Ke_Mo_Ta'!D6)^2/'06_Hoi_Quy_OLS'!C9)</f>
        <v/>
      </c>
      <c r="G5" s="20">
        <f>B5-'07_Khoang_Tin_Cay_Va_Kiem_Dinh'!C25*F5</f>
        <v/>
      </c>
      <c r="H5" s="20">
        <f>B5+'07_Khoang_Tin_Cay_Va_Kiem_Dinh'!C25*F5</f>
        <v/>
      </c>
      <c r="I5" s="29" t="inlineStr">
        <is>
          <t>Ŷ = b0 + b1*X; SE_mean = s*sqrt(1/n + (X-X̄)²/Sxx); SE_pred = s*sqrt(1 + 1/n + (X-X̄)²/Sxx)</t>
        </is>
      </c>
    </row>
    <row r="6">
      <c r="A6" s="33" t="n">
        <v>8</v>
      </c>
      <c r="B6" s="21">
        <f>'06_Hoi_Quy_OLS'!C7+'06_Hoi_Quy_OLS'!C6*A6</f>
        <v/>
      </c>
      <c r="C6" s="21">
        <f>'06_Hoi_Quy_OLS'!C14*SQRT(1/'05_Thong_Ke_Mo_Ta'!D5+(A6-'05_Thong_Ke_Mo_Ta'!D6)^2/'06_Hoi_Quy_OLS'!C9)</f>
        <v/>
      </c>
      <c r="D6" s="21">
        <f>B6-'07_Khoang_Tin_Cay_Va_Kiem_Dinh'!C25*C6</f>
        <v/>
      </c>
      <c r="E6" s="21">
        <f>B6+'07_Khoang_Tin_Cay_Va_Kiem_Dinh'!C25*C6</f>
        <v/>
      </c>
      <c r="F6" s="21">
        <f>'06_Hoi_Quy_OLS'!C14*SQRT(1+1/'05_Thong_Ke_Mo_Ta'!D5+(A6-'05_Thong_Ke_Mo_Ta'!D6)^2/'06_Hoi_Quy_OLS'!C9)</f>
        <v/>
      </c>
      <c r="G6" s="21">
        <f>B6-'07_Khoang_Tin_Cay_Va_Kiem_Dinh'!C25*F6</f>
        <v/>
      </c>
      <c r="H6" s="21">
        <f>B6+'07_Khoang_Tin_Cay_Va_Kiem_Dinh'!C25*F6</f>
        <v/>
      </c>
      <c r="I6" s="30" t="inlineStr">
        <is>
          <t>Ŷ = b0 + b1*X; SE_mean = s*sqrt(1/n + (X-X̄)²/Sxx); SE_pred = s*sqrt(1 + 1/n + (X-X̄)²/Sxx)</t>
        </is>
      </c>
    </row>
    <row r="7"/>
    <row r="8">
      <c r="A8" s="4" t="inlineStr">
        <is>
          <t>CHÊNH LỆCH ĐIỂM DỰ ĐOÁN GIỮA SINH VIÊN ĐẠT 8 ĐIỂM VÀ 6 ĐIỂM GIỮA KỲ:</t>
        </is>
      </c>
    </row>
    <row r="9">
      <c r="A9" s="4" t="inlineStr">
        <is>
          <t>ΔŶ = Ŷ(X=8) - Ŷ(X=6) = b1 * (8 - 6)</t>
        </is>
      </c>
      <c r="E9" s="34">
        <f>B6-B5</f>
        <v/>
      </c>
    </row>
    <row r="10"/>
    <row r="11">
      <c r="A11" s="4" t="inlineStr">
        <is>
          <t>LƯU Ý HỌC THUẬT VỀ MỐI QUAN HỆ NHÂN QUẢ (CAUSALITY CAVEAT):</t>
        </is>
      </c>
    </row>
    <row r="12">
      <c r="A12" s="35" t="inlineStr">
        <is>
          <t>Mô hình hồi quy chỉ phản ánh mối tương quan thống kê quan sát được giữa điểm giữa kỳ và điểm cuối kỳ, KHÔNG chứng minh quan hệ nhân quả. Việc can thiệp nâng điểm giữa kỳ không tự động làm tăng điểm thi cuối kỳ nếu không có sự thay đổi thực chất trong nỗ lực và năng lực tiếp thu kiến thức của sinh viên.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7"/>
  <sheetViews>
    <sheetView showGridLines="1" workbookViewId="0">
      <selection activeCell="A1" sqref="A1"/>
    </sheetView>
  </sheetViews>
  <sheetFormatPr baseColWidth="8" defaultRowHeight="15"/>
  <cols>
    <col width="14" customWidth="1" min="1" max="1"/>
    <col width="16" customWidth="1" min="2" max="2"/>
    <col width="30" customWidth="1" min="3" max="3"/>
    <col width="35" customWidth="1" min="4" max="4"/>
    <col width="35" customWidth="1" min="5" max="5"/>
    <col width="50" customWidth="1" min="6" max="6"/>
  </cols>
  <sheetData>
    <row r="1">
      <c r="A1" s="2" t="inlineStr">
        <is>
          <t>NHẬT KÝ THẨM ĐỊNH VÀ LÀM SẠCH DỮ LIỆU (CLEANING AUDIT LOG)</t>
        </is>
      </c>
    </row>
    <row r="2">
      <c r="A2" s="3" t="inlineStr">
        <is>
          <t>Ghi lại chi tiết mọi trường hợp bị loại bỏ, lý do học thuật và quyết định xử lý</t>
        </is>
      </c>
    </row>
    <row r="4">
      <c r="A4" s="5" t="inlineStr">
        <is>
          <t>STT Dòng gốc</t>
        </is>
      </c>
      <c r="B4" s="5" t="inlineStr">
        <is>
          <t>Mã ẩn danh</t>
        </is>
      </c>
      <c r="C4" s="5" t="inlineStr">
        <is>
          <t>Phân loại lỗi</t>
        </is>
      </c>
      <c r="D4" s="5" t="inlineStr">
        <is>
          <t>Chi tiết phát hiện</t>
        </is>
      </c>
      <c r="E4" s="5" t="inlineStr">
        <is>
          <t>Hành động xử lý</t>
        </is>
      </c>
      <c r="F4" s="5" t="inlineStr">
        <is>
          <t>Căn cứ quy chuẩn học thuật</t>
        </is>
      </c>
    </row>
    <row r="5">
      <c r="A5" s="10" t="n">
        <v>8</v>
      </c>
      <c r="B5" s="10" t="inlineStr">
        <is>
          <t>DE200390</t>
        </is>
      </c>
      <c r="C5" s="11" t="inlineStr">
        <is>
          <t>KHÔNG ĐỒNG Ý CHIA SẺ (NO_CONSENT)</t>
        </is>
      </c>
      <c r="D5" s="11" t="inlineStr">
        <is>
          <t>Người tham gia tích chọn 'Không đồng ý' chia sẻ dữ liệu nghiên cứu.</t>
        </is>
      </c>
      <c r="E5" s="11" t="inlineStr">
        <is>
          <t>Loại bỏ hoàn toàn khỏi mẫu phân tích chính thức</t>
        </is>
      </c>
      <c r="F5" s="11" t="inlineStr">
        <is>
          <t>Quy tắc đạo đức nghiên cứu học thuật: Tuyệt đối tôn trọng quyền bảo mật và từ chối của người tham gia.</t>
        </is>
      </c>
    </row>
    <row r="6">
      <c r="A6" s="12" t="n">
        <v>23</v>
      </c>
      <c r="B6" s="12" t="inlineStr">
        <is>
          <t>MCP201</t>
        </is>
      </c>
      <c r="C6" s="13" t="inlineStr">
        <is>
          <t>KHÔNG ĐỒNG Ý CHIA SẺ (NO_CONSENT)</t>
        </is>
      </c>
      <c r="D6" s="13" t="inlineStr">
        <is>
          <t>Người tham gia tích chọn 'Không đồng ý' chia sẻ dữ liệu nghiên cứu.</t>
        </is>
      </c>
      <c r="E6" s="13" t="inlineStr">
        <is>
          <t>Loại bỏ hoàn toàn khỏi mẫu phân tích chính thức</t>
        </is>
      </c>
      <c r="F6" s="13" t="inlineStr">
        <is>
          <t>Quy tắc đạo đức nghiên cứu học thuật: Tuyệt đối tôn trọng quyền bảo mật và từ chối của người tham gia.</t>
        </is>
      </c>
    </row>
    <row r="7">
      <c r="A7" s="10" t="n">
        <v>35</v>
      </c>
      <c r="B7" s="10" t="inlineStr">
        <is>
          <t>de200125</t>
        </is>
      </c>
      <c r="C7" s="11" t="inlineStr">
        <is>
          <t>TRÙNG LẶP SINH VIÊN (DUPLICATE_ID)</t>
        </is>
      </c>
      <c r="D7" s="11" t="inlineStr">
        <is>
          <t>Mã định danh đã tồn tại ở dòng 1 (nộp lại 2 lần).</t>
        </is>
      </c>
      <c r="E7" s="11" t="inlineStr">
        <is>
          <t>Loại bỏ bản ghi nộp sau, chỉ giữ bản ghi đầu tiên</t>
        </is>
      </c>
      <c r="F7" s="11" t="inlineStr">
        <is>
          <t>Giả định cơ bản của OLS: Các quan sát phải độc lập (i.i.d), không cho phép cùng một sinh viên xuất hiện 2 lần gây thiên lệch mẫu.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2026-10-30T03:57:15Z</dcterms:created>
  <dcterms:modified xmlns:dcterms="http://purl.org/dc/terms/" xmlns:xsi="http://www.w3.org/2001/XMLSchema-instance" xsi:type="dcterms:W3CDTF">2026-10-30T03:57:15Z</dcterms:modified>
</cp:coreProperties>
</file>